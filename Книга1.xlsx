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ksandr.VORONOV\Desktop\"/>
    </mc:Choice>
  </mc:AlternateContent>
  <xr:revisionPtr revIDLastSave="0" documentId="13_ncr:1_{3E42EC8D-AABA-42FF-A302-9934E936A538}" xr6:coauthVersionLast="47" xr6:coauthVersionMax="47" xr10:uidLastSave="{00000000-0000-0000-0000-000000000000}"/>
  <bookViews>
    <workbookView xWindow="28680" yWindow="-120" windowWidth="29040" windowHeight="15720" xr2:uid="{166A0A8F-4029-47C7-AD18-85053EBBA890}"/>
  </bookViews>
  <sheets>
    <sheet name="Товары 9170+1955" sheetId="1" r:id="rId1"/>
  </sheets>
  <externalReferences>
    <externalReference r:id="rId2"/>
  </externalReferences>
  <definedNames>
    <definedName name="ИД_КурсДоллара">'Товары 9170+1955'!$AE$2</definedName>
    <definedName name="ИД_КурсЕвро">'Товары 9170+1955'!$AE$3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9" i="1" l="1"/>
  <c r="K269" i="1"/>
  <c r="AC268" i="1"/>
  <c r="AB268" i="1"/>
  <c r="O268" i="1" s="1"/>
  <c r="AA268" i="1"/>
  <c r="Y268" i="1"/>
  <c r="AC267" i="1"/>
  <c r="AB267" i="1"/>
  <c r="O267" i="1" s="1"/>
  <c r="AA267" i="1"/>
  <c r="Y267" i="1"/>
  <c r="AC266" i="1"/>
  <c r="AB266" i="1"/>
  <c r="O266" i="1" s="1"/>
  <c r="AA266" i="1"/>
  <c r="Y266" i="1"/>
  <c r="AC265" i="1"/>
  <c r="AB265" i="1"/>
  <c r="O265" i="1" s="1"/>
  <c r="AA265" i="1"/>
  <c r="Y265" i="1"/>
  <c r="AC264" i="1"/>
  <c r="AB264" i="1"/>
  <c r="O264" i="1" s="1"/>
  <c r="AA264" i="1"/>
  <c r="Y264" i="1"/>
  <c r="AC263" i="1"/>
  <c r="AB263" i="1"/>
  <c r="O263" i="1" s="1"/>
  <c r="AA263" i="1"/>
  <c r="Y263" i="1"/>
  <c r="AC262" i="1"/>
  <c r="AB262" i="1"/>
  <c r="AA262" i="1"/>
  <c r="Y262" i="1"/>
  <c r="O262" i="1"/>
  <c r="AC261" i="1"/>
  <c r="AB261" i="1"/>
  <c r="AA261" i="1"/>
  <c r="Y261" i="1"/>
  <c r="O261" i="1"/>
  <c r="AC260" i="1"/>
  <c r="AB260" i="1"/>
  <c r="AA260" i="1"/>
  <c r="Y260" i="1"/>
  <c r="O260" i="1"/>
  <c r="AC259" i="1"/>
  <c r="AB259" i="1"/>
  <c r="AA259" i="1"/>
  <c r="Y259" i="1"/>
  <c r="O259" i="1"/>
  <c r="AC258" i="1"/>
  <c r="AB258" i="1"/>
  <c r="AA258" i="1"/>
  <c r="Y258" i="1"/>
  <c r="O258" i="1"/>
  <c r="AC257" i="1"/>
  <c r="AB257" i="1"/>
  <c r="AA257" i="1"/>
  <c r="Y257" i="1"/>
  <c r="O257" i="1"/>
  <c r="AC256" i="1"/>
  <c r="AB256" i="1"/>
  <c r="AA256" i="1"/>
  <c r="Y256" i="1"/>
  <c r="O256" i="1"/>
  <c r="AC255" i="1"/>
  <c r="AB255" i="1"/>
  <c r="O255" i="1" s="1"/>
  <c r="AA255" i="1"/>
  <c r="Y255" i="1"/>
  <c r="AC254" i="1"/>
  <c r="AB254" i="1"/>
  <c r="AA254" i="1"/>
  <c r="Y254" i="1"/>
  <c r="O254" i="1"/>
  <c r="AC253" i="1"/>
  <c r="AB253" i="1"/>
  <c r="O253" i="1" s="1"/>
  <c r="AA253" i="1"/>
  <c r="Y253" i="1"/>
  <c r="AC252" i="1"/>
  <c r="AB252" i="1"/>
  <c r="O252" i="1" s="1"/>
  <c r="AA252" i="1"/>
  <c r="Y252" i="1"/>
  <c r="AC251" i="1"/>
  <c r="AB251" i="1"/>
  <c r="AA251" i="1"/>
  <c r="Y251" i="1"/>
  <c r="O251" i="1"/>
  <c r="AC250" i="1"/>
  <c r="AB250" i="1"/>
  <c r="O250" i="1" s="1"/>
  <c r="AA250" i="1"/>
  <c r="Y250" i="1"/>
  <c r="AC249" i="1"/>
  <c r="AB249" i="1"/>
  <c r="AA249" i="1"/>
  <c r="Y249" i="1"/>
  <c r="O249" i="1"/>
  <c r="AC248" i="1"/>
  <c r="AB248" i="1"/>
  <c r="AA248" i="1"/>
  <c r="Y248" i="1"/>
  <c r="O248" i="1"/>
  <c r="AC247" i="1"/>
  <c r="AB247" i="1"/>
  <c r="O247" i="1" s="1"/>
  <c r="AA247" i="1"/>
  <c r="Y247" i="1"/>
  <c r="AC246" i="1"/>
  <c r="AB246" i="1"/>
  <c r="AA246" i="1"/>
  <c r="Y246" i="1"/>
  <c r="O246" i="1"/>
  <c r="AC245" i="1"/>
  <c r="AB245" i="1"/>
  <c r="AA245" i="1"/>
  <c r="Y245" i="1"/>
  <c r="O245" i="1"/>
  <c r="AC244" i="1"/>
  <c r="AB244" i="1"/>
  <c r="AA244" i="1"/>
  <c r="Y244" i="1"/>
  <c r="O244" i="1"/>
  <c r="AC243" i="1"/>
  <c r="AB243" i="1"/>
  <c r="AA243" i="1"/>
  <c r="Y243" i="1"/>
  <c r="O243" i="1"/>
  <c r="AC242" i="1"/>
  <c r="AB242" i="1"/>
  <c r="O242" i="1" s="1"/>
  <c r="AA242" i="1"/>
  <c r="Y242" i="1"/>
  <c r="AC241" i="1"/>
  <c r="AB241" i="1"/>
  <c r="AA241" i="1"/>
  <c r="Y241" i="1"/>
  <c r="O241" i="1"/>
  <c r="AC240" i="1"/>
  <c r="AB240" i="1"/>
  <c r="AA240" i="1"/>
  <c r="Y240" i="1"/>
  <c r="O240" i="1"/>
  <c r="AC239" i="1"/>
  <c r="AB239" i="1"/>
  <c r="O239" i="1" s="1"/>
  <c r="AA239" i="1"/>
  <c r="Y239" i="1"/>
  <c r="AC238" i="1"/>
  <c r="AB238" i="1"/>
  <c r="AA238" i="1"/>
  <c r="Y238" i="1"/>
  <c r="O238" i="1"/>
  <c r="AC237" i="1"/>
  <c r="AB237" i="1"/>
  <c r="O237" i="1" s="1"/>
  <c r="AA237" i="1"/>
  <c r="Y237" i="1"/>
  <c r="AC236" i="1"/>
  <c r="AB236" i="1"/>
  <c r="O236" i="1" s="1"/>
  <c r="AA236" i="1"/>
  <c r="Y236" i="1"/>
  <c r="AC235" i="1"/>
  <c r="AB235" i="1"/>
  <c r="AA235" i="1"/>
  <c r="Y235" i="1"/>
  <c r="O235" i="1"/>
  <c r="AC234" i="1"/>
  <c r="AB234" i="1"/>
  <c r="O234" i="1" s="1"/>
  <c r="AA234" i="1"/>
  <c r="Y234" i="1"/>
  <c r="AC233" i="1"/>
  <c r="AB233" i="1"/>
  <c r="AA233" i="1"/>
  <c r="Y233" i="1"/>
  <c r="O233" i="1"/>
  <c r="AC232" i="1"/>
  <c r="AB232" i="1"/>
  <c r="AA232" i="1"/>
  <c r="Y232" i="1"/>
  <c r="O232" i="1"/>
  <c r="AC231" i="1"/>
  <c r="AB231" i="1"/>
  <c r="O231" i="1" s="1"/>
  <c r="AA231" i="1"/>
  <c r="Y231" i="1"/>
  <c r="AC230" i="1"/>
  <c r="AB230" i="1"/>
  <c r="AA230" i="1"/>
  <c r="Y230" i="1"/>
  <c r="O230" i="1"/>
  <c r="AC229" i="1"/>
  <c r="AB229" i="1"/>
  <c r="AA229" i="1"/>
  <c r="Y229" i="1"/>
  <c r="O229" i="1"/>
  <c r="AC228" i="1"/>
  <c r="AB228" i="1"/>
  <c r="AA228" i="1"/>
  <c r="Y228" i="1"/>
  <c r="O228" i="1"/>
  <c r="AC227" i="1"/>
  <c r="AB227" i="1"/>
  <c r="AA227" i="1"/>
  <c r="Y227" i="1"/>
  <c r="O227" i="1"/>
  <c r="AC226" i="1"/>
  <c r="AB226" i="1"/>
  <c r="O226" i="1" s="1"/>
  <c r="AA226" i="1"/>
  <c r="Y226" i="1"/>
  <c r="AC225" i="1"/>
  <c r="AB225" i="1"/>
  <c r="AA225" i="1"/>
  <c r="Y225" i="1"/>
  <c r="O225" i="1"/>
  <c r="AC224" i="1"/>
  <c r="AB224" i="1"/>
  <c r="AA224" i="1"/>
  <c r="Y224" i="1"/>
  <c r="O224" i="1"/>
  <c r="AC223" i="1"/>
  <c r="AB223" i="1"/>
  <c r="O223" i="1" s="1"/>
  <c r="AA223" i="1"/>
  <c r="Y223" i="1"/>
  <c r="AC222" i="1"/>
  <c r="AB222" i="1"/>
  <c r="AA222" i="1"/>
  <c r="Y222" i="1"/>
  <c r="O222" i="1"/>
  <c r="AC221" i="1"/>
  <c r="AB221" i="1"/>
  <c r="O221" i="1" s="1"/>
  <c r="AA221" i="1"/>
  <c r="Y221" i="1"/>
  <c r="AC220" i="1"/>
  <c r="AB220" i="1"/>
  <c r="O220" i="1" s="1"/>
  <c r="AA220" i="1"/>
  <c r="Y220" i="1"/>
  <c r="AC219" i="1"/>
  <c r="AB219" i="1"/>
  <c r="AA219" i="1"/>
  <c r="Y219" i="1"/>
  <c r="O219" i="1"/>
  <c r="AC218" i="1"/>
  <c r="AB218" i="1"/>
  <c r="O218" i="1" s="1"/>
  <c r="AA218" i="1"/>
  <c r="Y218" i="1"/>
  <c r="AC217" i="1"/>
  <c r="AB217" i="1"/>
  <c r="AA217" i="1"/>
  <c r="Y217" i="1"/>
  <c r="O217" i="1"/>
  <c r="AC216" i="1"/>
  <c r="AB216" i="1"/>
  <c r="AA216" i="1"/>
  <c r="Y216" i="1"/>
  <c r="O216" i="1"/>
  <c r="AC215" i="1"/>
  <c r="AB215" i="1"/>
  <c r="O215" i="1" s="1"/>
  <c r="AA215" i="1"/>
  <c r="Y215" i="1"/>
  <c r="AC214" i="1"/>
  <c r="AB214" i="1"/>
  <c r="AA214" i="1"/>
  <c r="Y214" i="1"/>
  <c r="O214" i="1"/>
  <c r="AC213" i="1"/>
  <c r="AB213" i="1"/>
  <c r="AA213" i="1"/>
  <c r="Y213" i="1"/>
  <c r="O213" i="1"/>
  <c r="AC212" i="1"/>
  <c r="AB212" i="1"/>
  <c r="AA212" i="1"/>
  <c r="Y212" i="1"/>
  <c r="O212" i="1"/>
  <c r="AC211" i="1"/>
  <c r="AB211" i="1"/>
  <c r="AA211" i="1"/>
  <c r="Y211" i="1"/>
  <c r="O211" i="1"/>
  <c r="AC210" i="1"/>
  <c r="AB210" i="1"/>
  <c r="O210" i="1" s="1"/>
  <c r="AA210" i="1"/>
  <c r="Y210" i="1"/>
  <c r="AC209" i="1"/>
  <c r="AB209" i="1"/>
  <c r="AA209" i="1"/>
  <c r="Y209" i="1"/>
  <c r="O209" i="1"/>
  <c r="AC208" i="1"/>
  <c r="AB208" i="1"/>
  <c r="AA208" i="1"/>
  <c r="Y208" i="1"/>
  <c r="O208" i="1"/>
  <c r="AC207" i="1"/>
  <c r="AB207" i="1"/>
  <c r="O207" i="1" s="1"/>
  <c r="AA207" i="1"/>
  <c r="Y207" i="1"/>
  <c r="AC206" i="1"/>
  <c r="AB206" i="1"/>
  <c r="AA206" i="1"/>
  <c r="Y206" i="1"/>
  <c r="O206" i="1"/>
  <c r="AC205" i="1"/>
  <c r="AB205" i="1"/>
  <c r="O205" i="1" s="1"/>
  <c r="AA205" i="1"/>
  <c r="Y205" i="1"/>
  <c r="AC204" i="1"/>
  <c r="AB204" i="1"/>
  <c r="O204" i="1" s="1"/>
  <c r="AA204" i="1"/>
  <c r="Y204" i="1"/>
  <c r="AC203" i="1"/>
  <c r="AB203" i="1"/>
  <c r="AA203" i="1"/>
  <c r="Y203" i="1"/>
  <c r="O203" i="1"/>
  <c r="AC202" i="1"/>
  <c r="AB202" i="1"/>
  <c r="O202" i="1" s="1"/>
  <c r="AA202" i="1"/>
  <c r="Y202" i="1"/>
  <c r="AC201" i="1"/>
  <c r="AB201" i="1"/>
  <c r="AA201" i="1"/>
  <c r="Y201" i="1"/>
  <c r="O201" i="1"/>
  <c r="AC200" i="1"/>
  <c r="AB200" i="1"/>
  <c r="AA200" i="1"/>
  <c r="Y200" i="1"/>
  <c r="O200" i="1"/>
  <c r="AC199" i="1"/>
  <c r="AB199" i="1"/>
  <c r="O199" i="1" s="1"/>
  <c r="AA199" i="1"/>
  <c r="Y199" i="1"/>
  <c r="AC198" i="1"/>
  <c r="AB198" i="1"/>
  <c r="AA198" i="1"/>
  <c r="Y198" i="1"/>
  <c r="O198" i="1"/>
  <c r="AC197" i="1"/>
  <c r="AB197" i="1"/>
  <c r="AA197" i="1"/>
  <c r="Y197" i="1"/>
  <c r="O197" i="1"/>
  <c r="AC196" i="1"/>
  <c r="AB196" i="1"/>
  <c r="AA196" i="1"/>
  <c r="Y196" i="1"/>
  <c r="O196" i="1"/>
  <c r="AC195" i="1"/>
  <c r="AB195" i="1"/>
  <c r="AA195" i="1"/>
  <c r="Y195" i="1"/>
  <c r="O195" i="1"/>
  <c r="AC194" i="1"/>
  <c r="AB194" i="1"/>
  <c r="O194" i="1" s="1"/>
  <c r="AA194" i="1"/>
  <c r="Y194" i="1"/>
  <c r="AC193" i="1"/>
  <c r="AB193" i="1"/>
  <c r="AA193" i="1"/>
  <c r="Y193" i="1"/>
  <c r="O193" i="1"/>
  <c r="AC192" i="1"/>
  <c r="AB192" i="1"/>
  <c r="AA192" i="1"/>
  <c r="Y192" i="1"/>
  <c r="O192" i="1"/>
  <c r="AC191" i="1"/>
  <c r="AB191" i="1"/>
  <c r="O191" i="1" s="1"/>
  <c r="AA191" i="1"/>
  <c r="Y191" i="1"/>
  <c r="AC190" i="1"/>
  <c r="AB190" i="1"/>
  <c r="AA190" i="1"/>
  <c r="Y190" i="1"/>
  <c r="O190" i="1"/>
  <c r="AC189" i="1"/>
  <c r="AB189" i="1"/>
  <c r="O189" i="1" s="1"/>
  <c r="AA189" i="1"/>
  <c r="Y189" i="1"/>
  <c r="AC188" i="1"/>
  <c r="AB188" i="1"/>
  <c r="O188" i="1" s="1"/>
  <c r="AA188" i="1"/>
  <c r="Y188" i="1"/>
  <c r="AC187" i="1"/>
  <c r="AB187" i="1"/>
  <c r="AA187" i="1"/>
  <c r="Y187" i="1"/>
  <c r="O187" i="1"/>
  <c r="AC186" i="1"/>
  <c r="AB186" i="1"/>
  <c r="O186" i="1" s="1"/>
  <c r="AA186" i="1"/>
  <c r="Y186" i="1"/>
  <c r="AC185" i="1"/>
  <c r="AB185" i="1"/>
  <c r="AA185" i="1"/>
  <c r="Y185" i="1"/>
  <c r="O185" i="1"/>
  <c r="AC184" i="1"/>
  <c r="AB184" i="1"/>
  <c r="AA184" i="1"/>
  <c r="Y184" i="1"/>
  <c r="O184" i="1"/>
  <c r="AC183" i="1"/>
  <c r="AB183" i="1"/>
  <c r="O183" i="1" s="1"/>
  <c r="AA183" i="1"/>
  <c r="Y183" i="1"/>
  <c r="AC182" i="1"/>
  <c r="AB182" i="1"/>
  <c r="AA182" i="1"/>
  <c r="Y182" i="1"/>
  <c r="O182" i="1"/>
  <c r="AC181" i="1"/>
  <c r="AB181" i="1"/>
  <c r="AA181" i="1"/>
  <c r="Y181" i="1"/>
  <c r="O181" i="1"/>
  <c r="AC180" i="1"/>
  <c r="AB180" i="1"/>
  <c r="AA180" i="1"/>
  <c r="Y180" i="1"/>
  <c r="O180" i="1"/>
  <c r="AC179" i="1"/>
  <c r="AB179" i="1"/>
  <c r="AA179" i="1"/>
  <c r="Y179" i="1"/>
  <c r="O179" i="1"/>
  <c r="AC178" i="1"/>
  <c r="AB178" i="1"/>
  <c r="O178" i="1" s="1"/>
  <c r="AA178" i="1"/>
  <c r="Y178" i="1"/>
  <c r="AC177" i="1"/>
  <c r="AB177" i="1"/>
  <c r="AA177" i="1"/>
  <c r="Y177" i="1"/>
  <c r="O177" i="1"/>
  <c r="AC176" i="1"/>
  <c r="AB176" i="1"/>
  <c r="AA176" i="1"/>
  <c r="Y176" i="1"/>
  <c r="O176" i="1"/>
  <c r="AC175" i="1"/>
  <c r="AB175" i="1"/>
  <c r="O175" i="1" s="1"/>
  <c r="AA175" i="1"/>
  <c r="Y175" i="1"/>
  <c r="AC174" i="1"/>
  <c r="AB174" i="1"/>
  <c r="AA174" i="1"/>
  <c r="Y174" i="1"/>
  <c r="O174" i="1"/>
  <c r="AC173" i="1"/>
  <c r="AB173" i="1"/>
  <c r="O173" i="1" s="1"/>
  <c r="AA173" i="1"/>
  <c r="Y173" i="1"/>
  <c r="AC172" i="1"/>
  <c r="AB172" i="1"/>
  <c r="O172" i="1" s="1"/>
  <c r="AA172" i="1"/>
  <c r="Y172" i="1"/>
  <c r="AC171" i="1"/>
  <c r="AB171" i="1"/>
  <c r="AA171" i="1"/>
  <c r="Y171" i="1"/>
  <c r="O171" i="1"/>
  <c r="AC170" i="1"/>
  <c r="AB170" i="1"/>
  <c r="O170" i="1" s="1"/>
  <c r="AA170" i="1"/>
  <c r="Y170" i="1"/>
  <c r="AC169" i="1"/>
  <c r="AB169" i="1"/>
  <c r="AA169" i="1"/>
  <c r="Y169" i="1"/>
  <c r="O169" i="1"/>
  <c r="AC168" i="1"/>
  <c r="AB168" i="1"/>
  <c r="AA168" i="1"/>
  <c r="Y168" i="1"/>
  <c r="O168" i="1"/>
  <c r="AC167" i="1"/>
  <c r="AB167" i="1"/>
  <c r="O167" i="1" s="1"/>
  <c r="AA167" i="1"/>
  <c r="Y167" i="1"/>
  <c r="AC166" i="1"/>
  <c r="AB166" i="1"/>
  <c r="AA166" i="1"/>
  <c r="Y166" i="1"/>
  <c r="O166" i="1"/>
  <c r="AC165" i="1"/>
  <c r="AB165" i="1"/>
  <c r="AA165" i="1"/>
  <c r="Y165" i="1"/>
  <c r="O165" i="1"/>
  <c r="AC164" i="1"/>
  <c r="AB164" i="1"/>
  <c r="AA164" i="1"/>
  <c r="Y164" i="1"/>
  <c r="O164" i="1"/>
  <c r="AC163" i="1"/>
  <c r="AB163" i="1"/>
  <c r="AA163" i="1"/>
  <c r="Y163" i="1"/>
  <c r="O163" i="1"/>
  <c r="AC162" i="1"/>
  <c r="AB162" i="1"/>
  <c r="O162" i="1" s="1"/>
  <c r="AA162" i="1"/>
  <c r="Y162" i="1"/>
  <c r="AC161" i="1"/>
  <c r="AB161" i="1"/>
  <c r="AA161" i="1"/>
  <c r="Y161" i="1"/>
  <c r="O161" i="1"/>
  <c r="AC160" i="1"/>
  <c r="AB160" i="1"/>
  <c r="AA160" i="1"/>
  <c r="Y160" i="1"/>
  <c r="O160" i="1"/>
  <c r="AC159" i="1"/>
  <c r="AB159" i="1"/>
  <c r="O159" i="1" s="1"/>
  <c r="AA159" i="1"/>
  <c r="Y159" i="1"/>
  <c r="AC158" i="1"/>
  <c r="AB158" i="1"/>
  <c r="AA158" i="1"/>
  <c r="Y158" i="1"/>
  <c r="O158" i="1"/>
  <c r="AC157" i="1"/>
  <c r="AB157" i="1"/>
  <c r="O157" i="1" s="1"/>
  <c r="AA157" i="1"/>
  <c r="Y157" i="1"/>
  <c r="AC156" i="1"/>
  <c r="AB156" i="1"/>
  <c r="O156" i="1" s="1"/>
  <c r="AA156" i="1"/>
  <c r="Y156" i="1"/>
  <c r="AC155" i="1"/>
  <c r="AB155" i="1"/>
  <c r="AA155" i="1"/>
  <c r="Y155" i="1"/>
  <c r="O155" i="1"/>
  <c r="AC154" i="1"/>
  <c r="AB154" i="1"/>
  <c r="O154" i="1" s="1"/>
  <c r="AA154" i="1"/>
  <c r="Y154" i="1"/>
  <c r="AC153" i="1"/>
  <c r="AB153" i="1"/>
  <c r="AA153" i="1"/>
  <c r="Y153" i="1"/>
  <c r="O153" i="1"/>
  <c r="AC152" i="1"/>
  <c r="AB152" i="1"/>
  <c r="AA152" i="1"/>
  <c r="Y152" i="1"/>
  <c r="O152" i="1"/>
  <c r="AC151" i="1"/>
  <c r="AB151" i="1"/>
  <c r="O151" i="1" s="1"/>
  <c r="AA151" i="1"/>
  <c r="Y151" i="1"/>
  <c r="AC150" i="1"/>
  <c r="AB150" i="1"/>
  <c r="AA150" i="1"/>
  <c r="Y150" i="1"/>
  <c r="O150" i="1"/>
  <c r="AC149" i="1"/>
  <c r="AB149" i="1"/>
  <c r="AA149" i="1"/>
  <c r="Y149" i="1"/>
  <c r="O149" i="1"/>
  <c r="AC148" i="1"/>
  <c r="AB148" i="1"/>
  <c r="AA148" i="1"/>
  <c r="Y148" i="1"/>
  <c r="O148" i="1"/>
  <c r="AC147" i="1"/>
  <c r="AB147" i="1"/>
  <c r="AA147" i="1"/>
  <c r="Y147" i="1"/>
  <c r="O147" i="1"/>
  <c r="AC146" i="1"/>
  <c r="AB146" i="1"/>
  <c r="O146" i="1" s="1"/>
  <c r="AA146" i="1"/>
  <c r="Y146" i="1"/>
  <c r="AC145" i="1"/>
  <c r="AB145" i="1"/>
  <c r="AA145" i="1"/>
  <c r="Y145" i="1"/>
  <c r="O145" i="1"/>
  <c r="AC144" i="1"/>
  <c r="AB144" i="1"/>
  <c r="AA144" i="1"/>
  <c r="Y144" i="1"/>
  <c r="O144" i="1"/>
  <c r="AC143" i="1"/>
  <c r="AB143" i="1"/>
  <c r="O143" i="1" s="1"/>
  <c r="AA143" i="1"/>
  <c r="Y143" i="1"/>
  <c r="AC142" i="1"/>
  <c r="AB142" i="1"/>
  <c r="AA142" i="1"/>
  <c r="Y142" i="1"/>
  <c r="O142" i="1"/>
  <c r="AC141" i="1"/>
  <c r="AB141" i="1"/>
  <c r="O141" i="1" s="1"/>
  <c r="AA141" i="1"/>
  <c r="Y141" i="1"/>
  <c r="AC140" i="1"/>
  <c r="AB140" i="1"/>
  <c r="O140" i="1" s="1"/>
  <c r="AA140" i="1"/>
  <c r="Y140" i="1"/>
  <c r="AC139" i="1"/>
  <c r="AB139" i="1"/>
  <c r="AA139" i="1"/>
  <c r="Y139" i="1"/>
  <c r="O139" i="1"/>
  <c r="AC138" i="1"/>
  <c r="AB138" i="1"/>
  <c r="O138" i="1" s="1"/>
  <c r="AA138" i="1"/>
  <c r="Y138" i="1"/>
  <c r="AC137" i="1"/>
  <c r="AB137" i="1"/>
  <c r="AA137" i="1"/>
  <c r="Y137" i="1"/>
  <c r="O137" i="1"/>
  <c r="AC136" i="1"/>
  <c r="AB136" i="1"/>
  <c r="AA136" i="1"/>
  <c r="Y136" i="1"/>
  <c r="O136" i="1"/>
  <c r="AC135" i="1"/>
  <c r="AB135" i="1"/>
  <c r="O135" i="1" s="1"/>
  <c r="AA135" i="1"/>
  <c r="Y135" i="1"/>
  <c r="AC134" i="1"/>
  <c r="AB134" i="1"/>
  <c r="AA134" i="1"/>
  <c r="Y134" i="1"/>
  <c r="O134" i="1"/>
  <c r="AC133" i="1"/>
  <c r="AB133" i="1"/>
  <c r="AA133" i="1"/>
  <c r="Y133" i="1"/>
  <c r="O133" i="1"/>
  <c r="AC132" i="1"/>
  <c r="AB132" i="1"/>
  <c r="AA132" i="1"/>
  <c r="Y132" i="1"/>
  <c r="O132" i="1"/>
  <c r="AC131" i="1"/>
  <c r="AB131" i="1"/>
  <c r="O131" i="1" s="1"/>
  <c r="AA131" i="1"/>
  <c r="Y131" i="1"/>
  <c r="AC130" i="1"/>
  <c r="AB130" i="1"/>
  <c r="O130" i="1" s="1"/>
  <c r="AA130" i="1"/>
  <c r="Y130" i="1"/>
  <c r="AC129" i="1"/>
  <c r="AB129" i="1"/>
  <c r="AA129" i="1"/>
  <c r="Y129" i="1"/>
  <c r="O129" i="1"/>
  <c r="AC128" i="1"/>
  <c r="AB128" i="1"/>
  <c r="AA128" i="1"/>
  <c r="Y128" i="1"/>
  <c r="O128" i="1"/>
  <c r="AC127" i="1"/>
  <c r="AB127" i="1"/>
  <c r="O127" i="1" s="1"/>
  <c r="AA127" i="1"/>
  <c r="Y127" i="1"/>
  <c r="AC126" i="1"/>
  <c r="AB126" i="1"/>
  <c r="AA126" i="1"/>
  <c r="Y126" i="1"/>
  <c r="O126" i="1"/>
  <c r="AC125" i="1"/>
  <c r="AB125" i="1"/>
  <c r="O125" i="1" s="1"/>
  <c r="AA125" i="1"/>
  <c r="Y125" i="1"/>
  <c r="AC124" i="1"/>
  <c r="AB124" i="1"/>
  <c r="O124" i="1" s="1"/>
  <c r="AA124" i="1"/>
  <c r="Y124" i="1"/>
  <c r="AC123" i="1"/>
  <c r="AB123" i="1"/>
  <c r="AA123" i="1"/>
  <c r="Y123" i="1"/>
  <c r="O123" i="1"/>
  <c r="AC122" i="1"/>
  <c r="AB122" i="1"/>
  <c r="O122" i="1" s="1"/>
  <c r="AA122" i="1"/>
  <c r="Y122" i="1"/>
  <c r="AC121" i="1"/>
  <c r="AB121" i="1"/>
  <c r="AA121" i="1"/>
  <c r="Y121" i="1"/>
  <c r="O121" i="1"/>
  <c r="AC120" i="1"/>
  <c r="AB120" i="1"/>
  <c r="AA120" i="1"/>
  <c r="Y120" i="1"/>
  <c r="O120" i="1"/>
  <c r="AC119" i="1"/>
  <c r="AB119" i="1"/>
  <c r="O119" i="1" s="1"/>
  <c r="AA119" i="1"/>
  <c r="Y119" i="1"/>
  <c r="AC118" i="1"/>
  <c r="AB118" i="1"/>
  <c r="AA118" i="1"/>
  <c r="Y118" i="1"/>
  <c r="O118" i="1"/>
  <c r="AC117" i="1"/>
  <c r="AB117" i="1"/>
  <c r="AA117" i="1"/>
  <c r="Y117" i="1"/>
  <c r="O117" i="1"/>
  <c r="AC116" i="1"/>
  <c r="AB116" i="1"/>
  <c r="AA116" i="1"/>
  <c r="Y116" i="1"/>
  <c r="O116" i="1"/>
  <c r="AC115" i="1"/>
  <c r="AB115" i="1"/>
  <c r="O115" i="1" s="1"/>
  <c r="AA115" i="1"/>
  <c r="Y115" i="1"/>
  <c r="AC114" i="1"/>
  <c r="AB114" i="1"/>
  <c r="O114" i="1" s="1"/>
  <c r="AA114" i="1"/>
  <c r="Y114" i="1"/>
  <c r="AC113" i="1"/>
  <c r="AB113" i="1"/>
  <c r="AA113" i="1"/>
  <c r="Y113" i="1"/>
  <c r="O113" i="1"/>
  <c r="AC112" i="1"/>
  <c r="AB112" i="1"/>
  <c r="AA112" i="1"/>
  <c r="Y112" i="1"/>
  <c r="O112" i="1"/>
  <c r="AC111" i="1"/>
  <c r="AB111" i="1"/>
  <c r="O111" i="1" s="1"/>
  <c r="AA111" i="1"/>
  <c r="Y111" i="1"/>
  <c r="AC110" i="1"/>
  <c r="AB110" i="1"/>
  <c r="AA110" i="1"/>
  <c r="Y110" i="1"/>
  <c r="O110" i="1"/>
  <c r="AC109" i="1"/>
  <c r="AB109" i="1"/>
  <c r="O109" i="1" s="1"/>
  <c r="AA109" i="1"/>
  <c r="Y109" i="1"/>
  <c r="AC108" i="1"/>
  <c r="AB108" i="1"/>
  <c r="O108" i="1" s="1"/>
  <c r="AA108" i="1"/>
  <c r="Y108" i="1"/>
  <c r="AC107" i="1"/>
  <c r="AB107" i="1"/>
  <c r="AA107" i="1"/>
  <c r="Y107" i="1"/>
  <c r="O107" i="1"/>
  <c r="AC106" i="1"/>
  <c r="AB106" i="1"/>
  <c r="O106" i="1" s="1"/>
  <c r="AA106" i="1"/>
  <c r="Y106" i="1"/>
  <c r="AC105" i="1"/>
  <c r="AB105" i="1"/>
  <c r="AA105" i="1"/>
  <c r="Y105" i="1"/>
  <c r="O105" i="1"/>
  <c r="AC104" i="1"/>
  <c r="AB104" i="1"/>
  <c r="AA104" i="1"/>
  <c r="Y104" i="1"/>
  <c r="O104" i="1"/>
  <c r="AC103" i="1"/>
  <c r="AB103" i="1"/>
  <c r="O103" i="1" s="1"/>
  <c r="AA103" i="1"/>
  <c r="Y103" i="1"/>
  <c r="AC102" i="1"/>
  <c r="AB102" i="1"/>
  <c r="AA102" i="1"/>
  <c r="Y102" i="1"/>
  <c r="O102" i="1"/>
  <c r="AC101" i="1"/>
  <c r="AB101" i="1"/>
  <c r="AA101" i="1"/>
  <c r="Y101" i="1"/>
  <c r="O101" i="1"/>
  <c r="AC100" i="1"/>
  <c r="AB100" i="1"/>
  <c r="AA100" i="1"/>
  <c r="Y100" i="1"/>
  <c r="O100" i="1"/>
  <c r="AC99" i="1"/>
  <c r="AB99" i="1"/>
  <c r="O99" i="1" s="1"/>
  <c r="AA99" i="1"/>
  <c r="Y99" i="1"/>
  <c r="AC98" i="1"/>
  <c r="AB98" i="1"/>
  <c r="O98" i="1" s="1"/>
  <c r="AA98" i="1"/>
  <c r="Y98" i="1"/>
  <c r="AC97" i="1"/>
  <c r="AB97" i="1"/>
  <c r="AA97" i="1"/>
  <c r="Y97" i="1"/>
  <c r="O97" i="1"/>
  <c r="AC96" i="1"/>
  <c r="AB96" i="1"/>
  <c r="AA96" i="1"/>
  <c r="Y96" i="1"/>
  <c r="O96" i="1"/>
  <c r="AC95" i="1"/>
  <c r="AB95" i="1"/>
  <c r="O95" i="1" s="1"/>
  <c r="AA95" i="1"/>
  <c r="Y95" i="1"/>
  <c r="AC94" i="1"/>
  <c r="AB94" i="1"/>
  <c r="AA94" i="1"/>
  <c r="Y94" i="1"/>
  <c r="O94" i="1"/>
  <c r="AC93" i="1"/>
  <c r="AB93" i="1"/>
  <c r="O93" i="1" s="1"/>
  <c r="AA93" i="1"/>
  <c r="Y93" i="1"/>
  <c r="AC92" i="1"/>
  <c r="AB92" i="1"/>
  <c r="O92" i="1" s="1"/>
  <c r="AA92" i="1"/>
  <c r="Y92" i="1"/>
  <c r="AC91" i="1"/>
  <c r="AB91" i="1"/>
  <c r="AA91" i="1"/>
  <c r="Y91" i="1"/>
  <c r="O91" i="1"/>
  <c r="AC90" i="1"/>
  <c r="AB90" i="1"/>
  <c r="O90" i="1" s="1"/>
  <c r="AA90" i="1"/>
  <c r="Y90" i="1"/>
  <c r="AC89" i="1"/>
  <c r="AB89" i="1"/>
  <c r="AA89" i="1"/>
  <c r="Y89" i="1"/>
  <c r="O89" i="1"/>
  <c r="AC88" i="1"/>
  <c r="AB88" i="1"/>
  <c r="AA88" i="1"/>
  <c r="Y88" i="1"/>
  <c r="O88" i="1"/>
  <c r="AC87" i="1"/>
  <c r="AB87" i="1"/>
  <c r="O87" i="1" s="1"/>
  <c r="AA87" i="1"/>
  <c r="Y87" i="1"/>
  <c r="AC86" i="1"/>
  <c r="AB86" i="1"/>
  <c r="AA86" i="1"/>
  <c r="Y86" i="1"/>
  <c r="O86" i="1"/>
  <c r="AC85" i="1"/>
  <c r="AB85" i="1"/>
  <c r="AA85" i="1"/>
  <c r="Y85" i="1"/>
  <c r="O85" i="1"/>
  <c r="AC84" i="1"/>
  <c r="AB84" i="1"/>
  <c r="AA84" i="1"/>
  <c r="Y84" i="1"/>
  <c r="O84" i="1"/>
  <c r="AC83" i="1"/>
  <c r="AB83" i="1"/>
  <c r="O83" i="1" s="1"/>
  <c r="AA83" i="1"/>
  <c r="Y83" i="1"/>
  <c r="AC82" i="1"/>
  <c r="AB82" i="1"/>
  <c r="O82" i="1" s="1"/>
  <c r="AA82" i="1"/>
  <c r="Y82" i="1"/>
  <c r="AC81" i="1"/>
  <c r="AB81" i="1"/>
  <c r="AA81" i="1"/>
  <c r="Y81" i="1"/>
  <c r="O81" i="1"/>
  <c r="AC80" i="1"/>
  <c r="AB80" i="1"/>
  <c r="AA80" i="1"/>
  <c r="Y80" i="1"/>
  <c r="O80" i="1"/>
  <c r="AC79" i="1"/>
  <c r="AB79" i="1"/>
  <c r="O79" i="1" s="1"/>
  <c r="AA79" i="1"/>
  <c r="Y79" i="1"/>
  <c r="AC78" i="1"/>
  <c r="AB78" i="1"/>
  <c r="AA78" i="1"/>
  <c r="Y78" i="1"/>
  <c r="O78" i="1"/>
  <c r="AC77" i="1"/>
  <c r="AB77" i="1"/>
  <c r="O77" i="1" s="1"/>
  <c r="AA77" i="1"/>
  <c r="Y77" i="1"/>
  <c r="AC76" i="1"/>
  <c r="AB76" i="1"/>
  <c r="O76" i="1" s="1"/>
  <c r="AA76" i="1"/>
  <c r="Y76" i="1"/>
  <c r="AC75" i="1"/>
  <c r="AB75" i="1"/>
  <c r="AA75" i="1"/>
  <c r="Y75" i="1"/>
  <c r="O75" i="1"/>
  <c r="AC74" i="1"/>
  <c r="AB74" i="1"/>
  <c r="O74" i="1" s="1"/>
  <c r="AA74" i="1"/>
  <c r="Y74" i="1"/>
  <c r="AC73" i="1"/>
  <c r="AB73" i="1"/>
  <c r="AA73" i="1"/>
  <c r="Y73" i="1"/>
  <c r="O73" i="1"/>
  <c r="AC72" i="1"/>
  <c r="AB72" i="1"/>
  <c r="AA72" i="1"/>
  <c r="Y72" i="1"/>
  <c r="O72" i="1"/>
  <c r="AC71" i="1"/>
  <c r="AB71" i="1"/>
  <c r="O71" i="1" s="1"/>
  <c r="AA71" i="1"/>
  <c r="Y71" i="1"/>
  <c r="AC70" i="1"/>
  <c r="AB70" i="1"/>
  <c r="AA70" i="1"/>
  <c r="Y70" i="1"/>
  <c r="O70" i="1"/>
  <c r="AC69" i="1"/>
  <c r="AB69" i="1"/>
  <c r="AA69" i="1"/>
  <c r="Y69" i="1"/>
  <c r="O69" i="1"/>
  <c r="AC68" i="1"/>
  <c r="AB68" i="1"/>
  <c r="AA68" i="1"/>
  <c r="Y68" i="1"/>
  <c r="O68" i="1"/>
  <c r="AC67" i="1"/>
  <c r="AB67" i="1"/>
  <c r="O67" i="1" s="1"/>
  <c r="AA67" i="1"/>
  <c r="Y67" i="1"/>
  <c r="AC66" i="1"/>
  <c r="AB66" i="1"/>
  <c r="O66" i="1" s="1"/>
  <c r="AA66" i="1"/>
  <c r="Y66" i="1"/>
  <c r="AC65" i="1"/>
  <c r="AB65" i="1"/>
  <c r="AA65" i="1"/>
  <c r="Y65" i="1"/>
  <c r="O65" i="1"/>
  <c r="AC64" i="1"/>
  <c r="AB64" i="1"/>
  <c r="AA64" i="1"/>
  <c r="Y64" i="1"/>
  <c r="O64" i="1"/>
  <c r="AC63" i="1"/>
  <c r="AB63" i="1"/>
  <c r="O63" i="1" s="1"/>
  <c r="AA63" i="1"/>
  <c r="Y63" i="1"/>
  <c r="AC62" i="1"/>
  <c r="AB62" i="1"/>
  <c r="AA62" i="1"/>
  <c r="Y62" i="1"/>
  <c r="O62" i="1"/>
  <c r="AC61" i="1"/>
  <c r="AB61" i="1"/>
  <c r="O61" i="1" s="1"/>
  <c r="AA61" i="1"/>
  <c r="Y61" i="1"/>
  <c r="AC60" i="1"/>
  <c r="AB60" i="1"/>
  <c r="O60" i="1" s="1"/>
  <c r="AA60" i="1"/>
  <c r="Y60" i="1"/>
  <c r="AC59" i="1"/>
  <c r="AB59" i="1"/>
  <c r="AA59" i="1"/>
  <c r="Y59" i="1"/>
  <c r="O59" i="1"/>
  <c r="AC58" i="1"/>
  <c r="AB58" i="1"/>
  <c r="O58" i="1" s="1"/>
  <c r="AA58" i="1"/>
  <c r="Y58" i="1"/>
  <c r="AC57" i="1"/>
  <c r="AB57" i="1"/>
  <c r="AA57" i="1"/>
  <c r="Y57" i="1"/>
  <c r="O57" i="1"/>
  <c r="AC56" i="1"/>
  <c r="AB56" i="1"/>
  <c r="AA56" i="1"/>
  <c r="Y56" i="1"/>
  <c r="O56" i="1"/>
  <c r="AC55" i="1"/>
  <c r="AB55" i="1"/>
  <c r="O55" i="1" s="1"/>
  <c r="AA55" i="1"/>
  <c r="Y55" i="1"/>
  <c r="AC54" i="1"/>
  <c r="AB54" i="1"/>
  <c r="AA54" i="1"/>
  <c r="Y54" i="1"/>
  <c r="O54" i="1"/>
  <c r="AC53" i="1"/>
  <c r="AB53" i="1"/>
  <c r="AA53" i="1"/>
  <c r="Y53" i="1"/>
  <c r="O53" i="1"/>
  <c r="AC52" i="1"/>
  <c r="AB52" i="1"/>
  <c r="AA52" i="1"/>
  <c r="Y52" i="1"/>
  <c r="O52" i="1"/>
  <c r="AC51" i="1"/>
  <c r="AB51" i="1"/>
  <c r="AA51" i="1"/>
  <c r="Y51" i="1"/>
  <c r="O51" i="1"/>
  <c r="AC50" i="1"/>
  <c r="AB50" i="1"/>
  <c r="O50" i="1" s="1"/>
  <c r="AA50" i="1"/>
  <c r="Y50" i="1"/>
  <c r="AC49" i="1"/>
  <c r="AB49" i="1"/>
  <c r="AA49" i="1"/>
  <c r="Y49" i="1"/>
  <c r="O49" i="1"/>
  <c r="AC48" i="1"/>
  <c r="AB48" i="1"/>
  <c r="AA48" i="1"/>
  <c r="Y48" i="1"/>
  <c r="O48" i="1"/>
  <c r="AC47" i="1"/>
  <c r="AB47" i="1"/>
  <c r="O47" i="1" s="1"/>
  <c r="AA47" i="1"/>
  <c r="Y47" i="1"/>
  <c r="AC46" i="1"/>
  <c r="AB46" i="1"/>
  <c r="AA46" i="1"/>
  <c r="Y46" i="1"/>
  <c r="O46" i="1"/>
  <c r="AC45" i="1"/>
  <c r="AB45" i="1"/>
  <c r="O45" i="1" s="1"/>
  <c r="AA45" i="1"/>
  <c r="Y45" i="1"/>
  <c r="AC44" i="1"/>
  <c r="AB44" i="1"/>
  <c r="O44" i="1" s="1"/>
  <c r="AA44" i="1"/>
  <c r="Y44" i="1"/>
  <c r="AC43" i="1"/>
  <c r="AB43" i="1"/>
  <c r="AA43" i="1"/>
  <c r="Y43" i="1"/>
  <c r="O43" i="1"/>
  <c r="AC42" i="1"/>
  <c r="AB42" i="1"/>
  <c r="O42" i="1" s="1"/>
  <c r="AA42" i="1"/>
  <c r="Y42" i="1"/>
  <c r="AC41" i="1"/>
  <c r="AB41" i="1"/>
  <c r="AA41" i="1"/>
  <c r="Y41" i="1"/>
  <c r="O41" i="1"/>
  <c r="AC40" i="1"/>
  <c r="AB40" i="1"/>
  <c r="AA40" i="1"/>
  <c r="Y40" i="1"/>
  <c r="O40" i="1"/>
  <c r="AC39" i="1"/>
  <c r="AB39" i="1"/>
  <c r="O39" i="1" s="1"/>
  <c r="AA39" i="1"/>
  <c r="Y39" i="1"/>
  <c r="AC38" i="1"/>
  <c r="AB38" i="1"/>
  <c r="AA38" i="1"/>
  <c r="Y38" i="1"/>
  <c r="O38" i="1"/>
  <c r="AC37" i="1"/>
  <c r="AB37" i="1"/>
  <c r="AA37" i="1"/>
  <c r="Y37" i="1"/>
  <c r="O37" i="1"/>
  <c r="AC36" i="1"/>
  <c r="AB36" i="1"/>
  <c r="AA36" i="1"/>
  <c r="Y36" i="1"/>
  <c r="O36" i="1"/>
  <c r="AC35" i="1"/>
  <c r="AB35" i="1"/>
  <c r="AA35" i="1"/>
  <c r="Y35" i="1"/>
  <c r="O35" i="1"/>
  <c r="AC34" i="1"/>
  <c r="AB34" i="1"/>
  <c r="O34" i="1" s="1"/>
  <c r="AA34" i="1"/>
  <c r="Y34" i="1"/>
  <c r="AC33" i="1"/>
  <c r="AB33" i="1"/>
  <c r="AA33" i="1"/>
  <c r="Y33" i="1"/>
  <c r="O33" i="1"/>
  <c r="AC32" i="1"/>
  <c r="AB32" i="1"/>
  <c r="AA32" i="1"/>
  <c r="Y32" i="1"/>
  <c r="O32" i="1"/>
  <c r="AC31" i="1"/>
  <c r="AB31" i="1"/>
  <c r="O31" i="1" s="1"/>
  <c r="AA31" i="1"/>
  <c r="Y31" i="1"/>
  <c r="AC30" i="1"/>
  <c r="AB30" i="1"/>
  <c r="AA30" i="1"/>
  <c r="Y30" i="1"/>
  <c r="O30" i="1"/>
  <c r="AC29" i="1"/>
  <c r="AB29" i="1"/>
  <c r="O29" i="1" s="1"/>
  <c r="AA29" i="1"/>
  <c r="Y29" i="1"/>
  <c r="AC28" i="1"/>
  <c r="AB28" i="1"/>
  <c r="O28" i="1" s="1"/>
  <c r="AA28" i="1"/>
  <c r="Y28" i="1"/>
  <c r="AC27" i="1"/>
  <c r="AB27" i="1"/>
  <c r="AA27" i="1"/>
  <c r="Y27" i="1"/>
  <c r="O27" i="1"/>
  <c r="AC26" i="1"/>
  <c r="AB26" i="1"/>
  <c r="O26" i="1" s="1"/>
  <c r="AA26" i="1"/>
  <c r="Y26" i="1"/>
  <c r="AC25" i="1"/>
  <c r="AB25" i="1"/>
  <c r="AA25" i="1"/>
  <c r="Y25" i="1"/>
  <c r="O25" i="1"/>
  <c r="AC24" i="1"/>
  <c r="AB24" i="1"/>
  <c r="AA24" i="1"/>
  <c r="Y24" i="1"/>
  <c r="O24" i="1"/>
  <c r="AC23" i="1"/>
  <c r="AB23" i="1"/>
  <c r="O23" i="1" s="1"/>
  <c r="AA23" i="1"/>
  <c r="Y23" i="1"/>
  <c r="AC22" i="1"/>
  <c r="AB22" i="1"/>
  <c r="AA22" i="1"/>
  <c r="Y22" i="1"/>
  <c r="O22" i="1"/>
  <c r="AC21" i="1"/>
  <c r="AB21" i="1"/>
  <c r="AA21" i="1"/>
  <c r="Y21" i="1"/>
  <c r="O21" i="1"/>
  <c r="AC20" i="1"/>
  <c r="AB20" i="1"/>
  <c r="AA20" i="1"/>
  <c r="Y20" i="1"/>
  <c r="O20" i="1"/>
  <c r="AC19" i="1"/>
  <c r="AB19" i="1"/>
  <c r="AA19" i="1"/>
  <c r="Y19" i="1"/>
  <c r="O19" i="1"/>
  <c r="AC18" i="1"/>
  <c r="AB18" i="1"/>
  <c r="O18" i="1" s="1"/>
  <c r="AA18" i="1"/>
  <c r="Y18" i="1"/>
  <c r="AC17" i="1"/>
  <c r="AB17" i="1"/>
  <c r="AA17" i="1"/>
  <c r="Y17" i="1"/>
  <c r="O17" i="1"/>
  <c r="AC16" i="1"/>
  <c r="AB16" i="1"/>
  <c r="AA16" i="1"/>
  <c r="Y16" i="1"/>
  <c r="O16" i="1"/>
  <c r="AC15" i="1"/>
  <c r="AB15" i="1"/>
  <c r="O15" i="1" s="1"/>
  <c r="AA15" i="1"/>
  <c r="Y15" i="1"/>
  <c r="AC14" i="1"/>
  <c r="AB14" i="1"/>
  <c r="AA14" i="1"/>
  <c r="Y14" i="1"/>
  <c r="O14" i="1"/>
  <c r="AC13" i="1"/>
  <c r="AB13" i="1"/>
  <c r="O13" i="1" s="1"/>
  <c r="AA13" i="1"/>
  <c r="Y13" i="1"/>
  <c r="AC12" i="1"/>
  <c r="AB12" i="1"/>
  <c r="O12" i="1" s="1"/>
  <c r="AA12" i="1"/>
  <c r="Y12" i="1"/>
  <c r="AC11" i="1"/>
  <c r="AB11" i="1"/>
  <c r="AA11" i="1"/>
  <c r="Y11" i="1"/>
  <c r="O11" i="1"/>
  <c r="AC10" i="1"/>
  <c r="AB10" i="1"/>
  <c r="O10" i="1" s="1"/>
  <c r="AA10" i="1"/>
  <c r="Y10" i="1"/>
  <c r="AC9" i="1"/>
  <c r="AB9" i="1"/>
  <c r="AA9" i="1"/>
  <c r="Y9" i="1"/>
  <c r="O9" i="1"/>
  <c r="AC8" i="1"/>
  <c r="AB8" i="1"/>
  <c r="AA8" i="1"/>
  <c r="Y8" i="1"/>
  <c r="O8" i="1"/>
  <c r="AC7" i="1"/>
  <c r="AB7" i="1"/>
  <c r="O7" i="1" s="1"/>
  <c r="AA7" i="1"/>
  <c r="Y7" i="1"/>
  <c r="AC6" i="1"/>
  <c r="AB6" i="1"/>
  <c r="AA6" i="1"/>
  <c r="Y6" i="1"/>
  <c r="O6" i="1"/>
  <c r="AC5" i="1"/>
  <c r="AB5" i="1"/>
  <c r="AA5" i="1"/>
  <c r="Y5" i="1"/>
  <c r="O5" i="1"/>
  <c r="O269" i="1" s="1"/>
</calcChain>
</file>

<file path=xl/sharedStrings.xml><?xml version="1.0" encoding="utf-8"?>
<sst xmlns="http://schemas.openxmlformats.org/spreadsheetml/2006/main" count="2830" uniqueCount="436">
  <si>
    <t>Номер заказа</t>
  </si>
  <si>
    <t>N</t>
  </si>
  <si>
    <t>Номенклатура поставщика</t>
  </si>
  <si>
    <t>Номенклатура</t>
  </si>
  <si>
    <t>Назначение</t>
  </si>
  <si>
    <t>Кол-во</t>
  </si>
  <si>
    <t>Упаковка</t>
  </si>
  <si>
    <t>Ед. изм.</t>
  </si>
  <si>
    <t>Вид цены</t>
  </si>
  <si>
    <t>Цена</t>
  </si>
  <si>
    <t>Сумма</t>
  </si>
  <si>
    <t>Ставка НДС</t>
  </si>
  <si>
    <t>НДС</t>
  </si>
  <si>
    <t>Сумма с НДС</t>
  </si>
  <si>
    <t>Сумма без НДС в рублях</t>
  </si>
  <si>
    <t>Склад</t>
  </si>
  <si>
    <t>Подразделение-получатель</t>
  </si>
  <si>
    <t>Проектная задача</t>
  </si>
  <si>
    <t>Проект</t>
  </si>
  <si>
    <t>Статья расходов</t>
  </si>
  <si>
    <t>Списать на расходы</t>
  </si>
  <si>
    <t>Аналитика расходов</t>
  </si>
  <si>
    <t>Отменено по причине</t>
  </si>
  <si>
    <t>Отменено</t>
  </si>
  <si>
    <t>Поставщик</t>
  </si>
  <si>
    <t>В составе изделия</t>
  </si>
  <si>
    <t>Дата</t>
  </si>
  <si>
    <t>Валюта</t>
  </si>
  <si>
    <t>Факт на складе</t>
  </si>
  <si>
    <t>Курс доллара</t>
  </si>
  <si>
    <t>Курс Евро</t>
  </si>
  <si>
    <t>Сумма без НДС</t>
  </si>
  <si>
    <t>Механизм</t>
  </si>
  <si>
    <t>NKNK-000988</t>
  </si>
  <si>
    <t>Пружина 4,5x31.2x90x1 2в</t>
  </si>
  <si>
    <t>шт</t>
  </si>
  <si>
    <t xml:space="preserve">Ломоносов </t>
  </si>
  <si>
    <t>Отдел обеспечения проектов</t>
  </si>
  <si>
    <t>Пружина - Для спредера- изготовление 4,5x22x90 8 шт.</t>
  </si>
  <si>
    <t>33280-4 Поставка ЗИП для спредера SNP-20 в УМ</t>
  </si>
  <si>
    <t>Материальные расходы</t>
  </si>
  <si>
    <t>Нет</t>
  </si>
  <si>
    <t>Твистлок</t>
  </si>
  <si>
    <t>NKNK-001107</t>
  </si>
  <si>
    <t>Химический анализ металла, измерение твердости твистлока и гайки</t>
  </si>
  <si>
    <t>NK00009170  получение Зажим поворотный (BR1102598) образцов, химанализ\твердость</t>
  </si>
  <si>
    <t>09170 Спредер. Проектирование и изготовление новой модели</t>
  </si>
  <si>
    <t>Да</t>
  </si>
  <si>
    <t>Производство МК - Услуги</t>
  </si>
  <si>
    <t>Определение твердости</t>
  </si>
  <si>
    <t>Отчет</t>
  </si>
  <si>
    <t>NKNK-001201</t>
  </si>
  <si>
    <t>АН00578 Дисплей D700-8/0-0/0</t>
  </si>
  <si>
    <t>Исполнительная дирекция</t>
  </si>
  <si>
    <t>NK00009170 закупка эл оборудования(по заявке  Е Омелина)</t>
  </si>
  <si>
    <t>18.11.2024</t>
  </si>
  <si>
    <t>Электрика и АСУ</t>
  </si>
  <si>
    <t>АН00504 Кабель с коннектором М12х8 прямой</t>
  </si>
  <si>
    <t>АН00492 Контроллер MC3-108/66-38/30</t>
  </si>
  <si>
    <t>АН00552 Комплект коннекторов AMP-86P-F (CS-86-3) к контроллеру</t>
  </si>
  <si>
    <t>NKNK-001215</t>
  </si>
  <si>
    <t>157А24035 Распределитель 2-х секционный</t>
  </si>
  <si>
    <t>NK19137 СРВ-1,2 Доп. закупки для доработки позиционера</t>
  </si>
  <si>
    <t>19137 ПЛП - Станция разгрузки вагонов</t>
  </si>
  <si>
    <t>30.08.2024</t>
  </si>
  <si>
    <t>Гидравлика</t>
  </si>
  <si>
    <t>NKNK-001199</t>
  </si>
  <si>
    <t>ОПТИЧЕСКИЙ ДАТЧИК ИЗМЕРЕНИЯ РАССТОЯНИЯ, ТМ SIEMENS</t>
  </si>
  <si>
    <t>Садофьев И. В.</t>
  </si>
  <si>
    <t>ЭМ, АТХ - Оборудование индивидуального монтажа: размещение заказов</t>
  </si>
  <si>
    <t>23.08.2024</t>
  </si>
  <si>
    <t>Доставка</t>
  </si>
  <si>
    <t>ПРОГРАММИРУЕМЫЙ КОНТРОЛЛЕР ТМ SIEMENS</t>
  </si>
  <si>
    <t>NKNK-001524</t>
  </si>
  <si>
    <t>Транспортно-экспедиционные услуги по доставке груза</t>
  </si>
  <si>
    <t>NK00009170 перевозки грузов-покупных</t>
  </si>
  <si>
    <t>02.09.2024</t>
  </si>
  <si>
    <t>Информирование о статусе и местонахождении грузу</t>
  </si>
  <si>
    <t>Страхование груза и срока</t>
  </si>
  <si>
    <t>NKNK-001406</t>
  </si>
  <si>
    <t>Отдел контрактного производства</t>
  </si>
  <si>
    <t>NK00009170 Хим.анализ и твердость, лаборатория ИЗ</t>
  </si>
  <si>
    <t>NKNK-001455</t>
  </si>
  <si>
    <t>Резиновые рельсы Kaupuk dayanak raylan, pelik Арт.: 26120-15005020057 Norelem</t>
  </si>
  <si>
    <t>NK00009170 резиноопора NORELEM НЕ ПОКУПАЕМ</t>
  </si>
  <si>
    <t>03.12.2024</t>
  </si>
  <si>
    <t>Отклонение при приемке мерных товаров</t>
  </si>
  <si>
    <t>Гибкий кабельный канал PCH45-b240-R200-C(AISI420)-A2-2232-FAI/MAI</t>
  </si>
  <si>
    <t>компл.</t>
  </si>
  <si>
    <t>Отдел АСУ ТП</t>
  </si>
  <si>
    <t>NK00009170 кабельная цепь 6м-PCH45-b240-R200-С(AISI420)-А2-2046-FAI/MAI ПОКУПАТЬ)</t>
  </si>
  <si>
    <t>NKNK-001503</t>
  </si>
  <si>
    <t>Доставка товара</t>
  </si>
  <si>
    <t>NK00009170 Harting 4шт(НА  2 СПРЕДЕРА) ПОКУПАЕМ</t>
  </si>
  <si>
    <t>NKNK-001821</t>
  </si>
  <si>
    <t>Отдел сервиса</t>
  </si>
  <si>
    <t>01.10.2024</t>
  </si>
  <si>
    <t>Информирование о статусе и местонахождении груза</t>
  </si>
  <si>
    <t>NKNK-001822</t>
  </si>
  <si>
    <t>NKNK-001703</t>
  </si>
  <si>
    <t>Авт. выкл. NB1-63 3Р 25А 6кА х-ка В (CHINT)</t>
  </si>
  <si>
    <t>Авт. выкл. NB1-63 3Р 6А 6кА х-ка В (CHINT)</t>
  </si>
  <si>
    <t>Вспомогательный контакт XF9 для NB1 (CHINT)</t>
  </si>
  <si>
    <t>Авт. выкл. NB1-63 2Р 6А 6кА х-ка В (CHINT)</t>
  </si>
  <si>
    <t>Авт. выкл. пос.тока NB1-63DC 1Р С6А DC250B6KA (CHINT)</t>
  </si>
  <si>
    <t>Розетка АС30-111 с заземляющим контактом на DIN -рейку (CHINT)</t>
  </si>
  <si>
    <t>Блок распределительный КБР на DIN -рейку и монтажную панель 80А EKF PROxima</t>
  </si>
  <si>
    <t>NKNK-001802</t>
  </si>
  <si>
    <t>Лоток проволочный 60/100 (цинк)</t>
  </si>
  <si>
    <t>м</t>
  </si>
  <si>
    <t>NK00009170 кабельный лоток 2м (металл) (ПОКУПАТЬ)</t>
  </si>
  <si>
    <t>21.10.2024</t>
  </si>
  <si>
    <t>НЛ-ПР, прижим лотка (цинк)</t>
  </si>
  <si>
    <t>NKNK-001723</t>
  </si>
  <si>
    <t>Датчик ВБИ-М30-50В-1113-С.7(5м)</t>
  </si>
  <si>
    <t>05.11.2024</t>
  </si>
  <si>
    <t>NKNK-001879</t>
  </si>
  <si>
    <t>14.10.2024</t>
  </si>
  <si>
    <t>NKNK-001885</t>
  </si>
  <si>
    <t>Отдел гидравлики</t>
  </si>
  <si>
    <t>17.10.2024</t>
  </si>
  <si>
    <t>Упаковка груза в деревянную обрешётку</t>
  </si>
  <si>
    <t>NKNK-002034</t>
  </si>
  <si>
    <t>FORTISFLEX Кабельный ввод PGM42 INOX</t>
  </si>
  <si>
    <t>упак</t>
  </si>
  <si>
    <t>NK00009170 кабельный ввод код 83629 PGM 42 купить-4шт</t>
  </si>
  <si>
    <t>12.11.2024</t>
  </si>
  <si>
    <t>NKNK-001939</t>
  </si>
  <si>
    <t>Резина ТМКЩ-С 40мм (лист0,5)</t>
  </si>
  <si>
    <t>кг</t>
  </si>
  <si>
    <t>NK00009170 доп РЕЗИНА для NORELEM-КУПИТЬ</t>
  </si>
  <si>
    <t>Резина ТМКЩ-С 5мм (лист0,72)</t>
  </si>
  <si>
    <t>???</t>
  </si>
  <si>
    <t>NKNK-002073</t>
  </si>
  <si>
    <t>Услуга по организации доставки (экспедированию) груза (документов)</t>
  </si>
  <si>
    <t>Въезд на терминал по подразделению Москва</t>
  </si>
  <si>
    <t>NKNK-002238</t>
  </si>
  <si>
    <t>Проставка под лапу - 12мм 09г2с</t>
  </si>
  <si>
    <t>NK00009170 детали из резины (план 40 000 руб с НДС)</t>
  </si>
  <si>
    <t>Прижим двери</t>
  </si>
  <si>
    <t>NK91 70.250.000.002 - 10мм Ст.3</t>
  </si>
  <si>
    <t>Производство МК</t>
  </si>
  <si>
    <t>NKNK-002124</t>
  </si>
  <si>
    <t>КЛАПАН ДЕЛИТЕЛЬ ПОТОКА ГИДРАВЛИЧЕСКОЙ ЖИДКОСТИ ТМ WALVOIL</t>
  </si>
  <si>
    <t>NK00009170 закупка Компонентов гидравлики по спецификации</t>
  </si>
  <si>
    <t>ПОВОРОТНЫЙ РЫЧАГ из СТАЛИ ТМ BROMMA</t>
  </si>
  <si>
    <t>NK00009170 - TWISTLOCK ARM 2 TYPE 2  BR1264138 (купить в LV)</t>
  </si>
  <si>
    <t>КРЕПЛЕНИЕ ДАТЧИКА ИЗ СТАЛИ ТМ TECHNOBALT</t>
  </si>
  <si>
    <t>NK00009170 виброопора (эл шкаф) 4шт (ПОКУПАТЬ ЛВ)</t>
  </si>
  <si>
    <t>АВТОМАТИЧЕСКИЙ ВЫКЛЮЧАТЕЛЬ НА СИЛУ ТОКА МЕНЕЕ 63АТМ EATON</t>
  </si>
  <si>
    <t>Плата аналогового усилителя Bosch Rexroth VT-MSPA (4 шт.) цена 500 евро/шт.</t>
  </si>
  <si>
    <t>14500 СНГ - Плата аналогового усилителя Bosch Rexroth VT-MSPA1</t>
  </si>
  <si>
    <t>NKNK-002141</t>
  </si>
  <si>
    <t>электромагнитный уровень IEG-N1F+T А=250 mm T=60°NC Арт.: IEG-N1F+T-A=250-00005 Fratelli Giacomello</t>
  </si>
  <si>
    <t>NK-00009170 - Гидравлика. Покупные элементы</t>
  </si>
  <si>
    <t>NKNK-002154</t>
  </si>
  <si>
    <t>NKNK-002264</t>
  </si>
  <si>
    <t>Въезд на терминал</t>
  </si>
  <si>
    <t>NKNK-002273</t>
  </si>
  <si>
    <t>NKNK-002307</t>
  </si>
  <si>
    <t>NKNK-002308</t>
  </si>
  <si>
    <t xml:space="preserve">Упаковка груза </t>
  </si>
  <si>
    <t>NKNK-000049</t>
  </si>
  <si>
    <t>NKNK-000216</t>
  </si>
  <si>
    <t>NK7788.300.400.001 Штифт</t>
  </si>
  <si>
    <t>NK7788.300 Прижим №1-4  ПС, Договор (Метаком)</t>
  </si>
  <si>
    <t>NK-7788 Бронка - Траверса для STS</t>
  </si>
  <si>
    <t>NK91 70.300.400.002 Гайка</t>
  </si>
  <si>
    <t>NK7788.300.000.003 Втулка</t>
  </si>
  <si>
    <t>NKNK-000483</t>
  </si>
  <si>
    <t>NK9170.350.000.000SB Коннектор</t>
  </si>
  <si>
    <t>NK9170.350 Конектор Договор с ПСГ на изготовление 2шт</t>
  </si>
  <si>
    <t>01955 "Запасные части". 2025-2026</t>
  </si>
  <si>
    <t>NKNK-000507</t>
  </si>
  <si>
    <t>NK9170.210.480.003 + 050.01.04.201 поковка</t>
  </si>
  <si>
    <t>NK9170.210.480  поворотные замки-покупка поковки-КМЗ</t>
  </si>
  <si>
    <t>NK9170210.480.008 поковка</t>
  </si>
  <si>
    <t>NK-00020378 Ротейнер №3 поворот замки-КМЗ</t>
  </si>
  <si>
    <t>20378 Изготовление спредера револьверного - 1 шт.</t>
  </si>
  <si>
    <t>NK15357 Повортоные замки ПОКОВКА КМЗ</t>
  </si>
  <si>
    <t>15357 УМ - Поставка спредера револьверного</t>
  </si>
  <si>
    <t>NK-00020023 - Ротейнер № 2, 3 поворот замки-КМЗ</t>
  </si>
  <si>
    <t>20023 УМ - Поставка спредера револьверного - 2 шт.</t>
  </si>
  <si>
    <t>NKNK-001304</t>
  </si>
  <si>
    <t>Выполнение работ по нанесению покрытия на деталь Втулка направляющая 050.01.04.202 (Хим.Оке)</t>
  </si>
  <si>
    <t>NK-00020378 Ротейнер 4 химокс-ПСГ</t>
  </si>
  <si>
    <t>Услуги субподрядчика</t>
  </si>
  <si>
    <t>Выполнение работ по нанесению покрытия на деталь Втулка 050.01.04.203 (Хим.Оке)</t>
  </si>
  <si>
    <t>Выполнение работ по нанесению покрытия на деталь Гайка NK91 70.210.480.008 (Хим.Окс)</t>
  </si>
  <si>
    <t>1955 - химокс деталей- ПСГ</t>
  </si>
  <si>
    <t>Выполнение работ по нанесению покрытия на деталь Направляющий блок NK91 70.210.480.006 (Хим.Окс)</t>
  </si>
  <si>
    <t>Выполнение работ по нанесению покрытия на деталь Ограничитель 050.01.04.211 (Хим.Окс)</t>
  </si>
  <si>
    <t>Выполнение работ по нанесению покрытия на деталь Шайба блокирующая NK91 70.210.480.002 (Хим.Окс)</t>
  </si>
  <si>
    <t>Выполнение работ по нанесению покрытия на деталь Шпонка А12*8*25 DIN6885 (Хим.Окс)</t>
  </si>
  <si>
    <t>Выполнение работ по нанесению покрытия на деталь Штифт блокирующий NK91 70.210.480.007 (Хим.Окс)</t>
  </si>
  <si>
    <t>NK15357 Ротейнер 1 химокс -ПСГ</t>
  </si>
  <si>
    <t>NK 00020023 Ротейнер 2, 3 химокс ПСГ</t>
  </si>
  <si>
    <t>NKNK-001454</t>
  </si>
  <si>
    <t>W-MVE 1300/3N-50A0 (1300/3) площадочный вибратор OLI-WOLONG</t>
  </si>
  <si>
    <t>NK00009170 Вибратор OLI MVE 1300/3 -4шт</t>
  </si>
  <si>
    <t>Вибратор</t>
  </si>
  <si>
    <t>NKNK-001236</t>
  </si>
  <si>
    <t>HR1 24775745 AA10VSO71DFLR31R-VPA42N00 Аксиально-поршневой насос</t>
  </si>
  <si>
    <t>NK00009170 гидравлические насосы Rexroth для спредеров A10VSO71DFLR/31R-VPA42N00</t>
  </si>
  <si>
    <t>24.11.2024</t>
  </si>
  <si>
    <t>NKNK-001302</t>
  </si>
  <si>
    <t>Электродвигатель АИР 132 М4 УХЛ1 IP65 корпус Чугун 11*1500 380/660В IM2081</t>
  </si>
  <si>
    <t>NK00009170 мотор 1LE1503-1CB63-4JB4 (11кВт) ЗАКУПАЕМ</t>
  </si>
  <si>
    <t>30.09.2024</t>
  </si>
  <si>
    <t>NKNK-001417</t>
  </si>
  <si>
    <t>Строп 8-2СЦ-45,0х3170 (Звено 65,0тн NOR60B6 , на концах скобы G21 30 35,0г)</t>
  </si>
  <si>
    <t>NK00009170 цепи на крюк (NK00031530. Спецификация) ПОКУПАЕМ НА ОДИН КОМПЛКТ</t>
  </si>
  <si>
    <t>27.09.2024</t>
  </si>
  <si>
    <t>Подвес к крану</t>
  </si>
  <si>
    <t>NKNK-001419</t>
  </si>
  <si>
    <t>Опора CUSHYFLOAT MTG #10-00560, 17-1657 75IRH</t>
  </si>
  <si>
    <t>NK00009170 виброопора Г Станции Cushyfloat_17-1657-1_10-00560-12шт 4в ЗиП</t>
  </si>
  <si>
    <t>NKNK-001500</t>
  </si>
  <si>
    <t>Концевой соединительный элемент UNIFix 25-55 S2SK MOV</t>
  </si>
  <si>
    <t>NKNK-001501</t>
  </si>
  <si>
    <t>Качающаяся опора ABI 27 (AISI 304), ЕМТ</t>
  </si>
  <si>
    <t>NK00009170 Виброопора ABI 27 -24шт</t>
  </si>
  <si>
    <t>Корпус соединителя - блочная часть H48B-SF-1L/S-MCV-2PG36 1110482651133</t>
  </si>
  <si>
    <t>Корпус соединителя - кабельная часть H48B-SE-2B-PG42 1110485151014</t>
  </si>
  <si>
    <t>Вставка-розетка HE-024-F 1220240210001</t>
  </si>
  <si>
    <t>Вставка-розетка НE-024-F(25-48) 1220240210002</t>
  </si>
  <si>
    <t>Вставка-вилка НЕ-024-М 1220240110001</t>
  </si>
  <si>
    <t>Вставка-вилка НЕ-024-М(25-48) 1220240110002</t>
  </si>
  <si>
    <t>NKNK-001517</t>
  </si>
  <si>
    <t>U-опора двойная 5318 002 50NR511</t>
  </si>
  <si>
    <t>NK00009170 виброопора (эл шкаф) 4шт (ПОКУПАТЬ Ру)</t>
  </si>
  <si>
    <t>NKNK-001579</t>
  </si>
  <si>
    <t>Гидроцилиндр Ц25-30-20-100.01.01</t>
  </si>
  <si>
    <t>NK00009170 GC BR74147 г цилидр замков-10шт ЗАКУПИТЬ</t>
  </si>
  <si>
    <t>Гидроцилиндр Ц30-80-45-400.01.01</t>
  </si>
  <si>
    <t>NK00009170 GC NHDZ 80 N 45 - 400GE40 прижим двери-4шт ЗАКУПИТЬ</t>
  </si>
  <si>
    <t>NKNK-001548</t>
  </si>
  <si>
    <t>Гидроцилиндр наклона 645024-180-125x1500</t>
  </si>
  <si>
    <t>NK9170 ГЦ наклона гц 125х180х2200 «ГидравликСервис» -4шт Закупать</t>
  </si>
  <si>
    <t>NKNK-001549</t>
  </si>
  <si>
    <t>Гидроцилиндр смещения HEISS HBZ500-100-60-40-AD2.003X</t>
  </si>
  <si>
    <t>NK9170 ГЦ 60х100х145 ГДС. КП-620 Г цилиндр смещения-4шт Закупать</t>
  </si>
  <si>
    <t>28.11.2024</t>
  </si>
  <si>
    <t>NKNK-001540</t>
  </si>
  <si>
    <t>K-FLEX Клей для теплоизоляции 2.6 It К 467 850CL020045</t>
  </si>
  <si>
    <t>NKNK-001580</t>
  </si>
  <si>
    <t>Шкаф сварной RMS 66/300-65, 600*600*300 (ВШГ), IP65, 2 замка, с МП, сталь AISI 304 - 2мм, схема NK91</t>
  </si>
  <si>
    <t>NK-9170 шкаф гид NK9170.520.010.000SB 600х600х300 Закупить</t>
  </si>
  <si>
    <t>Шкаф сварной RMS 76/250-65, 700*600*250 (ВШГ), IP65, 2 замка, с МП, сталь AISI 304 - 2мм, NK9170.100</t>
  </si>
  <si>
    <t>NK-9170 эл шкафа 600х700х250  ЗАКУПАЕМ</t>
  </si>
  <si>
    <t>NKNK-001614</t>
  </si>
  <si>
    <t>157А24056 Распределитель Danfoss PVG 32 (10 секций)</t>
  </si>
  <si>
    <t>Главатских К. А.</t>
  </si>
  <si>
    <t>16.10.2024</t>
  </si>
  <si>
    <t>157В8005 КОМПЛЕКТ МОНТАЖНЫЙ ГИДРОРАСПРЕДЕЛИТЕЛЯ PVG 32</t>
  </si>
  <si>
    <t>NKNK-001721</t>
  </si>
  <si>
    <t>Устройство плавного пуска PSR30-600-70 15кВт ЗОА</t>
  </si>
  <si>
    <t>11.10.2024</t>
  </si>
  <si>
    <t>Устройство плавного пуска PSR1 2-600-70 5.5кВт 12А</t>
  </si>
  <si>
    <t>NKNK-001718</t>
  </si>
  <si>
    <t>ГИДРАВЛИЧЕСКИЙ ПОВОРОТНЫЙ АКТУАТОР WL20-027-180-SDYJ-M</t>
  </si>
  <si>
    <t>NK9170 закупка АКТУАТОРОВ (учесть минус 30 град)</t>
  </si>
  <si>
    <t>Актуатор</t>
  </si>
  <si>
    <t>NKNK-001754</t>
  </si>
  <si>
    <t>HEP-240-24A, AC/DC преобразователи корпусированные</t>
  </si>
  <si>
    <t>08.12.2024</t>
  </si>
  <si>
    <t>NKNK-001763</t>
  </si>
  <si>
    <t>Коммутатор EDS-205A-T 5 port entry-level unmanaged Ethernet Switches, dual power, t:-40/+75</t>
  </si>
  <si>
    <t>15.10.2024</t>
  </si>
  <si>
    <t>NKNK-001766</t>
  </si>
  <si>
    <t>I-7531-FD-UTA-G (I-7531-FD-UTA) Повторитель CAN с гальванической изоляцией, 10...30VDC, -40 ~ +75 C,</t>
  </si>
  <si>
    <t>02.12.2024</t>
  </si>
  <si>
    <t>NKNK-001782</t>
  </si>
  <si>
    <t>NK00031530.100.100.007 Основание</t>
  </si>
  <si>
    <t>NK00009170 ПЛАСТИК изготовить детали по NK00031530.100.100.Фонари)</t>
  </si>
  <si>
    <t>Светофоры</t>
  </si>
  <si>
    <t>NK00031530.210.430.004 Дистанцер</t>
  </si>
  <si>
    <t>NK00031530.210.430.004-01 Дистанцер</t>
  </si>
  <si>
    <t>NK9170.300.000.001 Пластина</t>
  </si>
  <si>
    <t>NK9170.300.000.002 Бампер</t>
  </si>
  <si>
    <t>NK00031530.100.100.008 Корпус</t>
  </si>
  <si>
    <t>NKNK-002055</t>
  </si>
  <si>
    <t>РЕ1000 Основание 6x80x99 NK00031530.100.100.007 без обработки плоскости</t>
  </si>
  <si>
    <t xml:space="preserve">Деталь </t>
  </si>
  <si>
    <t>РЕ1000 Дистанцер 12x30x57 NK00031 530.210.430.004 без обработки плоскости</t>
  </si>
  <si>
    <t>РЕ1000 Дистанцер 3x30x57 NK00031 530.210.430.004-01</t>
  </si>
  <si>
    <t>РЕ1000 Пластина 30x160x250 NK9170.300.000.001</t>
  </si>
  <si>
    <t>РЕ1000 Бампер R80x250 NK91 70.300.000.002</t>
  </si>
  <si>
    <t>Полиамид-6 бл.(капролон), Корпус 30x120x400 NK00031 530.100.100.008</t>
  </si>
  <si>
    <t>NKNK-001785</t>
  </si>
  <si>
    <t>Датчик тока ELHART ATE.S040.I42</t>
  </si>
  <si>
    <t>25.10.2024</t>
  </si>
  <si>
    <t>NKNK-001930</t>
  </si>
  <si>
    <t>Счетчик СИМ-Обч-13 АС230В УХЛ2</t>
  </si>
  <si>
    <t>01.11.2024</t>
  </si>
  <si>
    <t>NKNK-001933</t>
  </si>
  <si>
    <t>Клей TRS 2002 new, 1кг + Отвердитель 1000М, 40гр</t>
  </si>
  <si>
    <t>NK00009170 закупка грунта\клея\инструмента</t>
  </si>
  <si>
    <t>Сборка</t>
  </si>
  <si>
    <t>Грунт TRS МР 0,7 л</t>
  </si>
  <si>
    <t>Novattro 04 мм 508x504мм монолитный поликарбонат прозрачный</t>
  </si>
  <si>
    <t>NK00009170 закупка, поставка на склад</t>
  </si>
  <si>
    <t>NKNK-001944</t>
  </si>
  <si>
    <t>Колокол РК350 с доработкой NK9170</t>
  </si>
  <si>
    <t>020483003800 ROTEX 48 GG ступица чугунная D=38 Н7 шпон.паз по DIN</t>
  </si>
  <si>
    <t>020483003200 ROTEX 48 GG ступица чугунная D=32 Н7 шпон.паз по DIN</t>
  </si>
  <si>
    <t>020481000045 ROTEX 48 Зубчатый венец 92 SH АТ -PUR оранжевый</t>
  </si>
  <si>
    <t>NKNK-002291</t>
  </si>
  <si>
    <t>Резка NK00031530. 100.100.006</t>
  </si>
  <si>
    <t>Резка NK91 70.210.400.004</t>
  </si>
  <si>
    <t>Резка NK91 70.210.400.007</t>
  </si>
  <si>
    <t>Резка NK91 70.210.400.010</t>
  </si>
  <si>
    <t>Резка NK91 70.250.000.001</t>
  </si>
  <si>
    <t>Резка NK91 70.510.000.010</t>
  </si>
  <si>
    <t>NKNK-001951</t>
  </si>
  <si>
    <t>HPM422F10XNR1 Напорный фильтр</t>
  </si>
  <si>
    <t>DE500 Индикатор загрязненности</t>
  </si>
  <si>
    <t>CHP422F10XN Фильтроэлемент к фильтрам HMM, HPM</t>
  </si>
  <si>
    <t>VU-G1-0.5 Обратный клапан 160 л/мин 350 бар</t>
  </si>
  <si>
    <t>OMTF112C10NA1 Сливной фильтр</t>
  </si>
  <si>
    <t>CR112C10R Фильтроэлемент к фильтрам OMTF</t>
  </si>
  <si>
    <t>TRM-2-34 Сапун 3/4"</t>
  </si>
  <si>
    <t>NKNK-002100</t>
  </si>
  <si>
    <t>88100048 Корпус стальной для клапана SAE16/2-G1"</t>
  </si>
  <si>
    <t>10.12.2024</t>
  </si>
  <si>
    <t>EC36024DC Катушка 22W 24VDC</t>
  </si>
  <si>
    <t>EVC81 Клапан картриджный н.з.</t>
  </si>
  <si>
    <t>EVA34 Клапан 2-ходовой, н.о.</t>
  </si>
  <si>
    <t>62200452 Корпус картриджного клапана SAE10/2, 1/2"</t>
  </si>
  <si>
    <t>YWZ-254-T-M12 Визуальный указатель уровня и температуры</t>
  </si>
  <si>
    <t>PMO-50-s 6077.0032 Ручной насос 50см3 280бар</t>
  </si>
  <si>
    <t>27x600 6800.0009 Рукоятка ручного насоса L=600</t>
  </si>
  <si>
    <t>NKNK-001431</t>
  </si>
  <si>
    <t>Услуга по подготовке документов для оформления добровольной сертификации</t>
  </si>
  <si>
    <t>БезНДС</t>
  </si>
  <si>
    <t>Административный отдел</t>
  </si>
  <si>
    <t>1955 поворотные замки - оформление добровольной сертификации</t>
  </si>
  <si>
    <t>Прочие расходы</t>
  </si>
  <si>
    <t>NKNK-000456</t>
  </si>
  <si>
    <t>Кольцо NK9170.350.000.006 (согласованные параметры)</t>
  </si>
  <si>
    <t>Ломоносов </t>
  </si>
  <si>
    <t>Отдел сервиса</t>
  </si>
  <si>
    <t>NK9170.350 Конектор закупка деталей для сборки </t>
  </si>
  <si>
    <t>Материальные расходы</t>
  </si>
  <si>
    <t>NKNK-000470</t>
  </si>
  <si>
    <t>DIN 7337 А / ISO 15983 Заклёпка вытяжная А2/А2 d4.0 х 12</t>
  </si>
  <si>
    <t>DIN 1471 / ISO 8744 Штифт с коническими насечками по всей длине d3 х 8 А1-Нерж</t>
  </si>
  <si>
    <t>NKNK-000486</t>
  </si>
  <si>
    <t>Кольцо прям. сечения 77x87x5 85NBR </t>
  </si>
  <si>
    <t>NKNK-000502</t>
  </si>
  <si>
    <t>Работы по термообработке и механическим испытаниям</t>
  </si>
  <si>
    <t>Отдел контрактного производства</t>
  </si>
  <si>
    <t>NK15357 Повортоные замки Термозавод</t>
  </si>
  <si>
    <t>Услуги субподрядчика</t>
  </si>
  <si>
    <t>NK-00020023 - Ротейнер № 2, 3 поворот замки-ТЕРМОЗАВОД</t>
  </si>
  <si>
    <t>NK-00020378 Ротейнер №3 поворот замки-ТЕРМОЗАВОД</t>
  </si>
  <si>
    <t>NK9170.210.480  поворотные замки-терм обработка-Термозавод</t>
  </si>
  <si>
    <t>NKNK-000504</t>
  </si>
  <si>
    <t>Услуга по резке металлопроката</t>
  </si>
  <si>
    <t>NK15357 Повортоные замки порезка Метаком (по счету)</t>
  </si>
  <si>
    <t>NK-00020023 -Ротейнер № 2, 3 поворот замки-МЕТАКОМ</t>
  </si>
  <si>
    <t>NK-00020378 Ротейнер №3 поворот замки-МЕТАКОМ</t>
  </si>
  <si>
    <t>NK9170.210.480  поворотные замки-порезка-Метаком</t>
  </si>
  <si>
    <t>NKNK-000726</t>
  </si>
  <si>
    <t>050.01.04.201 Твистлок</t>
  </si>
  <si>
    <t>NK-00020378 - Ротейнер № 3 изготовление доп деталей ПСГ</t>
  </si>
  <si>
    <t>050.01.04.212 Втулка</t>
  </si>
  <si>
    <t>1955- изготовление твистлок с удлиненной резьбой+гайка- ПСГ</t>
  </si>
  <si>
    <t>050.01.03.007 Шпонка 56*32</t>
  </si>
  <si>
    <t>NK15357 Ротейнер № 1 - изготовление доп деталей ПСГ</t>
  </si>
  <si>
    <t>NK-00020023 - Ротейнер № 2, 3 - изготовление доп деталей ПСГ</t>
  </si>
  <si>
    <t>NKNK-000827</t>
  </si>
  <si>
    <t>Короб К-60, 425*165*100 мм</t>
  </si>
  <si>
    <t>1955 поворотные замки - закупка упаковки </t>
  </si>
  <si>
    <t>NKNK-001282</t>
  </si>
  <si>
    <t>050.01,04.209_Р_1,5 мм</t>
  </si>
  <si>
    <t>NK 15357 Ротейнер- изготовление пластин 050.01.04.209-УТК</t>
  </si>
  <si>
    <t>1955 изготовление стопор пластин 050.01.04.209-4шт (УТК)</t>
  </si>
  <si>
    <t>NK 00020378 Ротейнер 4 изготовление пластин 050.01.04.209-УТК </t>
  </si>
  <si>
    <t>NK 00020023 Ротейнер 2, 3  изготовление пластин 050.01.04.209</t>
  </si>
  <si>
    <t>NKNK-001283</t>
  </si>
  <si>
    <t>DINFIX Воздушно-пузырчатая пленка ВПП 3х слойная 0,6 м х 25 м (1 рулон) 00-0004809</t>
  </si>
  <si>
    <t>ProMega Этикетки самоклеящиеся кауч.к 105x70 8шт/л а4100л/уп 1625983</t>
  </si>
  <si>
    <t>ООО Комус Пакет с замком Zip Lock 10x15 см, 100мкм, 100 шт/уп 1757464</t>
  </si>
  <si>
    <t>ДМД-Упак Клейкая лента 16мм/43мкм/50м 2017116</t>
  </si>
  <si>
    <t>NKNK-001311</t>
  </si>
  <si>
    <t>Гайка М36 050.01.04.204А из материала 38Х2Н2МА</t>
  </si>
  <si>
    <t>1955 изготовление гаек 050.01.04204А-ПСГ 20шт Поковка </t>
  </si>
  <si>
    <t>NKNK-001392</t>
  </si>
  <si>
    <t>Наклейка, с QR -кодом</t>
  </si>
  <si>
    <t>Отменен заказ</t>
  </si>
  <si>
    <t>NKNK-000509</t>
  </si>
  <si>
    <t>NK15357 Повортоные замки из поеовки-Токарная-ПСГ</t>
  </si>
  <si>
    <t>050.01.04.202 Втулка направляющая</t>
  </si>
  <si>
    <t>NK9170.210.480  поворотные замки-изготовление ПСГ</t>
  </si>
  <si>
    <t>050.01.04.203 Втулка</t>
  </si>
  <si>
    <t>050.01.04.220 Рычаг правый</t>
  </si>
  <si>
    <t>050.01.04.260 Рычаг левый</t>
  </si>
  <si>
    <t>NK9170.210.480.006 Направляющий блок</t>
  </si>
  <si>
    <t>NK9170.210.482.000SB Поворотный рычаг (левый)</t>
  </si>
  <si>
    <t>NK9170.210.482.000-01SB Поворотный рычаг (правый)</t>
  </si>
  <si>
    <t>NK9170. 210.480.004 Сферическая шайба</t>
  </si>
  <si>
    <t>Шпонка DIN6885 - А12*8*25</t>
  </si>
  <si>
    <t>NK9170.210.480.007 Блокирующий штифт</t>
  </si>
  <si>
    <t>NK9170.210.480.002 Блокирующая шайба</t>
  </si>
  <si>
    <t>050.01.04.211 Ограничитель</t>
  </si>
  <si>
    <t>NK9170.210.480.003 Штифт твистлока</t>
  </si>
  <si>
    <t>NK9170.210.480.008 Гайка</t>
  </si>
  <si>
    <t>NK-00020378 Ротейнер №3 поворот замки-ПСГ</t>
  </si>
  <si>
    <t>NK-00020023 - Ротейнер № 2, 3 поворот замки-ПСГ</t>
  </si>
  <si>
    <t>NKNK-000333</t>
  </si>
  <si>
    <t>Круг Ст40ХН2МА 130ММ ГОСТ 2590-06, 4543-16, 2ГП, БМЗ_</t>
  </si>
  <si>
    <t>тн</t>
  </si>
  <si>
    <t>т</t>
  </si>
  <si>
    <t>NK9170.210.480  поворотные замки-закупка проката-Металлторг</t>
  </si>
  <si>
    <t>Круг Ст40ХН2МА 90мм ГОСТ 2590-06, 4543-16, 2ГП, БМЗ_</t>
  </si>
  <si>
    <t>Круг Ст40ХН2МА 140мм ГОСТ 2590-06, 4543-16, 2ГП, БМЗ_</t>
  </si>
  <si>
    <t>NK15357 Металлоторг - Заготовка металла для твистлоков 050.01.04.200</t>
  </si>
  <si>
    <t>NK-00020023 - Ротейнер № 2, 3 поворот замки-МЕТАЛЛТОРГ</t>
  </si>
  <si>
    <t>NK-00020378 Ротейнер №3 поворот замки-МЕТАЛЛТОРГ</t>
  </si>
  <si>
    <t>NKNK-001078</t>
  </si>
  <si>
    <t> Гайка М36 050.01.04.204А из материала Заказчика</t>
  </si>
  <si>
    <t>NKNK-001348</t>
  </si>
  <si>
    <t>За работы по Договору № 4-02-2/25/255 от «27» мая 2025 г. Испытание образцов Твистлоков на растяжени</t>
  </si>
  <si>
    <t>компл</t>
  </si>
  <si>
    <t>1955- Спб ГАСУ-испытания твистлок ПОКОВКА 050.01.04.201А+-гайка 050.01.04.204А</t>
  </si>
  <si>
    <t>NKNK-000205</t>
  </si>
  <si>
    <t>ПРОЕКТИРОВАНИЕ деталей и механизмов</t>
  </si>
  <si>
    <t>Без НДС</t>
  </si>
  <si>
    <t>NK9170.350 Конектор договор с конструктором</t>
  </si>
  <si>
    <t>NKNK-001002</t>
  </si>
  <si>
    <t>Выполнение работ по изготовлению детали Твистлок 050.01.04.201А</t>
  </si>
  <si>
    <t>Выполнение работ по изготовлению детали Гайка М36 050.01.04.204А</t>
  </si>
  <si>
    <t>NKNK-001043</t>
  </si>
  <si>
    <t>1955- испытания твистлок с удлиненной резьбой+гайка- Спб ГАСУ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</si>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</sst>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7" x14ac:knownFonts="1">
    <font>
      <sz val="8"/>
      <name val="Arial"/>
    </font>
    <font>
      <sz val="8"/>
      <name val="Arial"/>
      <family val="2"/>
      <charset val="204"/>
    </font>
    <font>
      <sz val="8"/>
      <color theme="1"/>
      <name val="Arial"/>
      <family val="2"/>
    </font>
    <font>
      <sz val="8"/>
      <name val="Arial"/>
      <family val="2"/>
    </font>
    <font>
      <sz val="8"/>
      <color rgb="FF0070C0"/>
      <name val="Arial"/>
      <family val="2"/>
    </font>
    <font>
      <sz val="12"/>
      <color rgb="FFFA7D00"/>
      <name val="Arial Narrow"/>
      <family val="2"/>
      <charset val="204"/>
    </font>
    <font>
      <i/>
      <sz val="12"/>
      <color rgb="FF7F7F7F"/>
      <name val="Arial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double">
        <color indexed="64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double">
        <color indexed="64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double">
        <color indexed="64"/>
      </left>
      <right style="thin">
        <color indexed="55"/>
      </right>
      <top style="thin">
        <color indexed="55"/>
      </top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/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rgb="FFA0A0A0"/>
      </left>
      <right/>
      <top style="thin">
        <color rgb="FFA0A0A0"/>
      </top>
      <bottom style="thin">
        <color rgb="FFA0A0A0"/>
      </bottom>
      <diagonal/>
    </border>
    <border>
      <left style="thin">
        <color indexed="55"/>
      </left>
      <right/>
      <top style="thin">
        <color indexed="55"/>
      </top>
      <bottom/>
      <diagonal/>
    </border>
    <border>
      <left/>
      <right style="thin">
        <color indexed="55"/>
      </right>
      <top style="thin">
        <color indexed="55"/>
      </top>
      <bottom/>
      <diagonal/>
    </border>
    <border>
      <left style="thin">
        <color rgb="FFA0A0A0"/>
      </left>
      <right style="thin">
        <color indexed="55"/>
      </right>
      <top/>
      <bottom/>
      <diagonal/>
    </border>
    <border>
      <left/>
      <right style="thin">
        <color indexed="55"/>
      </right>
      <top/>
      <bottom/>
      <diagonal/>
    </border>
    <border>
      <left style="thin">
        <color indexed="55"/>
      </left>
      <right/>
      <top/>
      <bottom/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double">
        <color indexed="64"/>
      </left>
      <right style="thin">
        <color indexed="55"/>
      </right>
      <top/>
      <bottom/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1" applyNumberFormat="0" applyFill="0" applyAlignment="0" applyProtection="0"/>
    <xf numFmtId="0" fontId="1" fillId="2" borderId="2" applyNumberFormat="0" applyFont="0" applyAlignment="0" applyProtection="0"/>
    <xf numFmtId="0" fontId="6" fillId="0" borderId="0" applyNumberFormat="0" applyFill="0" applyBorder="0" applyAlignment="0" applyProtection="0"/>
    <xf numFmtId="0" fontId="3" fillId="0" borderId="0"/>
    <xf numFmtId="0" fontId="3" fillId="0" borderId="0"/>
  </cellStyleXfs>
  <cellXfs count="91">
    <xf numFmtId="0" fontId="0" fillId="0" borderId="0" xfId="0"/>
    <xf numFmtId="0" fontId="1" fillId="0" borderId="0" xfId="0" applyFont="1" applyAlignment="1">
      <alignment horizontal="center" vertical="center" wrapText="1"/>
    </xf>
    <xf numFmtId="43" fontId="1" fillId="0" borderId="0" xfId="1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 wrapText="1" indent="1"/>
    </xf>
    <xf numFmtId="0" fontId="0" fillId="0" borderId="0" xfId="0" applyAlignment="1">
      <alignment horizontal="center"/>
    </xf>
    <xf numFmtId="43" fontId="0" fillId="0" borderId="0" xfId="1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 applyAlignment="1">
      <alignment horizontal="center"/>
    </xf>
    <xf numFmtId="0" fontId="1" fillId="0" borderId="0" xfId="0" applyFont="1" applyAlignment="1">
      <alignment horizontal="center"/>
    </xf>
    <xf numFmtId="43" fontId="0" fillId="0" borderId="0" xfId="1" applyFont="1" applyFill="1" applyAlignment="1"/>
    <xf numFmtId="0" fontId="2" fillId="0" borderId="7" xfId="0" applyFont="1" applyBorder="1" applyAlignment="1">
      <alignment horizontal="left" vertical="center" indent="1"/>
    </xf>
    <xf numFmtId="1" fontId="2" fillId="0" borderId="8" xfId="6" applyNumberFormat="1" applyFont="1" applyBorder="1" applyAlignment="1">
      <alignment horizontal="center" vertical="center"/>
    </xf>
    <xf numFmtId="0" fontId="2" fillId="0" borderId="8" xfId="6" applyFont="1" applyBorder="1" applyAlignment="1">
      <alignment horizontal="left" vertical="center"/>
    </xf>
    <xf numFmtId="0" fontId="2" fillId="0" borderId="8" xfId="6" applyFont="1" applyBorder="1" applyAlignment="1">
      <alignment horizontal="left" vertical="center" indent="1"/>
    </xf>
    <xf numFmtId="164" fontId="2" fillId="0" borderId="8" xfId="6" applyNumberFormat="1" applyFont="1" applyBorder="1" applyAlignment="1">
      <alignment horizontal="right" vertical="center"/>
    </xf>
    <xf numFmtId="0" fontId="2" fillId="0" borderId="8" xfId="6" applyFont="1" applyBorder="1" applyAlignment="1">
      <alignment horizontal="center" vertical="center"/>
    </xf>
    <xf numFmtId="43" fontId="2" fillId="0" borderId="8" xfId="1" applyFont="1" applyFill="1" applyBorder="1" applyAlignment="1">
      <alignment horizontal="right" vertical="center"/>
    </xf>
    <xf numFmtId="9" fontId="2" fillId="0" borderId="8" xfId="2" applyFont="1" applyFill="1" applyBorder="1" applyAlignment="1">
      <alignment horizontal="center" vertical="center"/>
    </xf>
    <xf numFmtId="49" fontId="2" fillId="0" borderId="8" xfId="6" applyNumberFormat="1" applyFont="1" applyBorder="1" applyAlignment="1">
      <alignment horizontal="left" vertical="center" indent="1"/>
    </xf>
    <xf numFmtId="0" fontId="2" fillId="0" borderId="8" xfId="6" applyFont="1" applyBorder="1" applyAlignment="1">
      <alignment horizontal="left" vertical="center" wrapText="1"/>
    </xf>
    <xf numFmtId="0" fontId="2" fillId="0" borderId="9" xfId="6" applyFont="1" applyBorder="1" applyAlignment="1">
      <alignment horizontal="left" vertical="center"/>
    </xf>
    <xf numFmtId="0" fontId="2" fillId="0" borderId="10" xfId="7" applyFont="1" applyBorder="1" applyAlignment="1">
      <alignment horizontal="left" vertical="center"/>
    </xf>
    <xf numFmtId="0" fontId="2" fillId="0" borderId="11" xfId="7" applyFont="1" applyBorder="1" applyAlignment="1">
      <alignment horizontal="left" vertical="center"/>
    </xf>
    <xf numFmtId="14" fontId="2" fillId="0" borderId="11" xfId="7" applyNumberFormat="1" applyFont="1" applyBorder="1" applyAlignment="1">
      <alignment horizontal="center" vertical="center"/>
    </xf>
    <xf numFmtId="0" fontId="2" fillId="0" borderId="11" xfId="7" applyFont="1" applyBorder="1" applyAlignment="1">
      <alignment horizontal="center" vertical="center"/>
    </xf>
    <xf numFmtId="0" fontId="2" fillId="0" borderId="12" xfId="7" applyFont="1" applyBorder="1" applyAlignment="1">
      <alignment horizontal="left" vertical="center"/>
    </xf>
    <xf numFmtId="0" fontId="2" fillId="0" borderId="8" xfId="7" applyFont="1" applyBorder="1" applyAlignment="1">
      <alignment horizontal="left" vertical="center"/>
    </xf>
    <xf numFmtId="14" fontId="2" fillId="0" borderId="8" xfId="7" applyNumberFormat="1" applyFont="1" applyBorder="1" applyAlignment="1">
      <alignment horizontal="center" vertical="center"/>
    </xf>
    <xf numFmtId="0" fontId="2" fillId="0" borderId="8" xfId="7" applyFont="1" applyBorder="1" applyAlignment="1">
      <alignment horizontal="center" vertical="center"/>
    </xf>
    <xf numFmtId="0" fontId="2" fillId="0" borderId="9" xfId="7" applyFont="1" applyBorder="1" applyAlignment="1">
      <alignment horizontal="left" vertical="center"/>
    </xf>
    <xf numFmtId="0" fontId="2" fillId="0" borderId="13" xfId="7" applyFont="1" applyBorder="1" applyAlignment="1">
      <alignment horizontal="left" vertical="center"/>
    </xf>
    <xf numFmtId="14" fontId="2" fillId="0" borderId="14" xfId="7" applyNumberFormat="1" applyFont="1" applyBorder="1" applyAlignment="1">
      <alignment horizontal="center" vertical="center"/>
    </xf>
    <xf numFmtId="0" fontId="2" fillId="0" borderId="14" xfId="7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 indent="1"/>
    </xf>
    <xf numFmtId="1" fontId="4" fillId="0" borderId="15" xfId="7" applyNumberFormat="1" applyFont="1" applyBorder="1" applyAlignment="1">
      <alignment horizontal="center" vertical="center"/>
    </xf>
    <xf numFmtId="0" fontId="4" fillId="0" borderId="9" xfId="7" applyFont="1" applyBorder="1" applyAlignment="1">
      <alignment horizontal="left" vertical="center"/>
    </xf>
    <xf numFmtId="0" fontId="4" fillId="0" borderId="8" xfId="7" applyFont="1" applyBorder="1" applyAlignment="1">
      <alignment horizontal="left" vertical="center" indent="1"/>
    </xf>
    <xf numFmtId="0" fontId="4" fillId="0" borderId="15" xfId="7" applyFont="1" applyBorder="1" applyAlignment="1">
      <alignment horizontal="left" vertical="center"/>
    </xf>
    <xf numFmtId="164" fontId="4" fillId="0" borderId="8" xfId="7" applyNumberFormat="1" applyFont="1" applyBorder="1" applyAlignment="1">
      <alignment horizontal="right" vertical="center"/>
    </xf>
    <xf numFmtId="0" fontId="4" fillId="0" borderId="8" xfId="7" applyFont="1" applyBorder="1" applyAlignment="1">
      <alignment horizontal="left" vertical="center"/>
    </xf>
    <xf numFmtId="0" fontId="4" fillId="0" borderId="8" xfId="7" applyFont="1" applyBorder="1" applyAlignment="1">
      <alignment horizontal="center" vertical="center"/>
    </xf>
    <xf numFmtId="43" fontId="4" fillId="0" borderId="8" xfId="1" applyFont="1" applyFill="1" applyBorder="1" applyAlignment="1">
      <alignment horizontal="right" vertical="center"/>
    </xf>
    <xf numFmtId="9" fontId="4" fillId="0" borderId="8" xfId="2" applyFont="1" applyFill="1" applyBorder="1" applyAlignment="1">
      <alignment horizontal="center" vertical="center"/>
    </xf>
    <xf numFmtId="0" fontId="4" fillId="0" borderId="9" xfId="7" applyFont="1" applyBorder="1" applyAlignment="1">
      <alignment horizontal="left" vertical="center" indent="1"/>
    </xf>
    <xf numFmtId="0" fontId="4" fillId="0" borderId="15" xfId="7" applyFont="1" applyBorder="1" applyAlignment="1">
      <alignment horizontal="left" vertical="center" indent="1"/>
    </xf>
    <xf numFmtId="0" fontId="4" fillId="0" borderId="8" xfId="7" applyFont="1" applyBorder="1" applyAlignment="1">
      <alignment horizontal="left" vertical="center" wrapText="1"/>
    </xf>
    <xf numFmtId="0" fontId="4" fillId="0" borderId="12" xfId="7" applyFont="1" applyBorder="1" applyAlignment="1">
      <alignment horizontal="left" vertical="center"/>
    </xf>
    <xf numFmtId="14" fontId="4" fillId="0" borderId="8" xfId="7" applyNumberFormat="1" applyFont="1" applyBorder="1" applyAlignment="1">
      <alignment horizontal="center" vertical="center"/>
    </xf>
    <xf numFmtId="14" fontId="4" fillId="0" borderId="8" xfId="7" applyNumberFormat="1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indent="1"/>
    </xf>
    <xf numFmtId="1" fontId="2" fillId="0" borderId="15" xfId="4" applyNumberFormat="1" applyFont="1" applyFill="1" applyBorder="1" applyAlignment="1">
      <alignment horizontal="center" vertical="center"/>
    </xf>
    <xf numFmtId="0" fontId="2" fillId="0" borderId="9" xfId="4" applyNumberFormat="1" applyFont="1" applyFill="1" applyBorder="1" applyAlignment="1">
      <alignment horizontal="left" vertical="center"/>
    </xf>
    <xf numFmtId="0" fontId="2" fillId="0" borderId="8" xfId="4" applyNumberFormat="1" applyFont="1" applyFill="1" applyBorder="1" applyAlignment="1">
      <alignment horizontal="left" vertical="center" indent="1"/>
    </xf>
    <xf numFmtId="0" fontId="2" fillId="0" borderId="15" xfId="4" applyNumberFormat="1" applyFont="1" applyFill="1" applyBorder="1" applyAlignment="1">
      <alignment horizontal="left" vertical="center"/>
    </xf>
    <xf numFmtId="164" fontId="2" fillId="0" borderId="8" xfId="4" applyNumberFormat="1" applyFont="1" applyFill="1" applyBorder="1" applyAlignment="1">
      <alignment horizontal="right" vertical="center"/>
    </xf>
    <xf numFmtId="0" fontId="2" fillId="0" borderId="8" xfId="4" applyNumberFormat="1" applyFont="1" applyFill="1" applyBorder="1" applyAlignment="1">
      <alignment horizontal="left" vertical="center"/>
    </xf>
    <xf numFmtId="0" fontId="2" fillId="0" borderId="8" xfId="4" applyNumberFormat="1" applyFont="1" applyFill="1" applyBorder="1" applyAlignment="1">
      <alignment horizontal="center" vertical="center"/>
    </xf>
    <xf numFmtId="43" fontId="2" fillId="0" borderId="8" xfId="3" applyNumberFormat="1" applyFont="1" applyFill="1" applyBorder="1" applyAlignment="1">
      <alignment horizontal="right" vertical="center"/>
    </xf>
    <xf numFmtId="9" fontId="2" fillId="0" borderId="8" xfId="5" applyNumberFormat="1" applyFont="1" applyFill="1" applyBorder="1" applyAlignment="1">
      <alignment horizontal="center" vertical="center"/>
    </xf>
    <xf numFmtId="0" fontId="2" fillId="0" borderId="9" xfId="4" applyNumberFormat="1" applyFont="1" applyFill="1" applyBorder="1" applyAlignment="1">
      <alignment horizontal="left" vertical="center" indent="1"/>
    </xf>
    <xf numFmtId="0" fontId="2" fillId="0" borderId="15" xfId="4" applyNumberFormat="1" applyFont="1" applyFill="1" applyBorder="1" applyAlignment="1">
      <alignment horizontal="left" vertical="center" indent="1"/>
    </xf>
    <xf numFmtId="0" fontId="2" fillId="0" borderId="8" xfId="4" applyNumberFormat="1" applyFont="1" applyFill="1" applyBorder="1" applyAlignment="1">
      <alignment horizontal="left" vertical="center" wrapText="1"/>
    </xf>
    <xf numFmtId="0" fontId="2" fillId="0" borderId="12" xfId="4" applyNumberFormat="1" applyFont="1" applyFill="1" applyBorder="1" applyAlignment="1">
      <alignment horizontal="left" vertical="center"/>
    </xf>
    <xf numFmtId="14" fontId="2" fillId="0" borderId="8" xfId="4" applyNumberFormat="1" applyFont="1" applyFill="1" applyBorder="1" applyAlignment="1">
      <alignment horizontal="center" vertical="center"/>
    </xf>
    <xf numFmtId="0" fontId="2" fillId="0" borderId="15" xfId="4" applyNumberFormat="1" applyFont="1" applyFill="1" applyBorder="1" applyAlignment="1">
      <alignment horizontal="left" vertical="center" indent="2"/>
    </xf>
    <xf numFmtId="43" fontId="2" fillId="0" borderId="14" xfId="3" applyNumberFormat="1" applyFont="1" applyFill="1" applyBorder="1" applyAlignment="1">
      <alignment horizontal="right" vertical="center"/>
    </xf>
    <xf numFmtId="0" fontId="2" fillId="0" borderId="14" xfId="4" applyNumberFormat="1" applyFont="1" applyFill="1" applyBorder="1" applyAlignment="1">
      <alignment horizontal="left" vertical="center"/>
    </xf>
    <xf numFmtId="0" fontId="2" fillId="0" borderId="17" xfId="4" applyNumberFormat="1" applyFont="1" applyFill="1" applyBorder="1" applyAlignment="1">
      <alignment horizontal="left" vertical="center"/>
    </xf>
    <xf numFmtId="0" fontId="2" fillId="0" borderId="17" xfId="4" applyNumberFormat="1" applyFont="1" applyFill="1" applyBorder="1" applyAlignment="1">
      <alignment horizontal="left" vertical="center" indent="1"/>
    </xf>
    <xf numFmtId="0" fontId="2" fillId="0" borderId="18" xfId="4" applyNumberFormat="1" applyFont="1" applyFill="1" applyBorder="1" applyAlignment="1">
      <alignment horizontal="left" vertical="center"/>
    </xf>
    <xf numFmtId="0" fontId="2" fillId="0" borderId="14" xfId="4" applyNumberFormat="1" applyFont="1" applyFill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indent="1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 indent="1"/>
    </xf>
    <xf numFmtId="0" fontId="2" fillId="0" borderId="20" xfId="0" applyFont="1" applyBorder="1" applyAlignment="1">
      <alignment horizontal="left" vertical="center"/>
    </xf>
    <xf numFmtId="0" fontId="2" fillId="0" borderId="22" xfId="0" applyFont="1" applyBorder="1" applyAlignment="1">
      <alignment horizontal="right" vertical="center"/>
    </xf>
    <xf numFmtId="0" fontId="2" fillId="0" borderId="22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43" fontId="2" fillId="0" borderId="22" xfId="0" applyNumberFormat="1" applyFont="1" applyBorder="1" applyAlignment="1">
      <alignment horizontal="right" vertical="center"/>
    </xf>
    <xf numFmtId="0" fontId="2" fillId="0" borderId="21" xfId="0" applyFont="1" applyBorder="1" applyAlignment="1">
      <alignment horizontal="left" vertical="center" indent="1"/>
    </xf>
    <xf numFmtId="0" fontId="2" fillId="0" borderId="20" xfId="0" applyFont="1" applyBorder="1" applyAlignment="1">
      <alignment horizontal="left" vertical="center" indent="1"/>
    </xf>
    <xf numFmtId="0" fontId="2" fillId="0" borderId="22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/>
    </xf>
    <xf numFmtId="49" fontId="0" fillId="0" borderId="0" xfId="0" applyNumberFormat="1"/>
    <xf numFmtId="0" fontId="0" fillId="0" borderId="0" xfId="0" applyAlignment="1">
      <alignment wrapText="1"/>
    </xf>
    <xf numFmtId="0" fontId="0" fillId="0" borderId="6" xfId="0" applyBorder="1"/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3" fontId="1" fillId="0" borderId="3" xfId="1" applyFont="1" applyFill="1" applyBorder="1" applyAlignment="1">
      <alignment horizontal="center" vertical="center" wrapText="1"/>
    </xf>
  </cellXfs>
  <cellStyles count="8">
    <cellStyle name="Обычный" xfId="0" builtinId="0"/>
    <cellStyle name="Обычный_Товары" xfId="6" xr:uid="{BE9308CA-F09C-40A4-9ADC-1CA55FA8CD6F}"/>
    <cellStyle name="Пояснение" xfId="5" builtinId="53"/>
    <cellStyle name="Примечание" xfId="4" builtinId="10"/>
    <cellStyle name="Процентный" xfId="2" builtinId="5"/>
    <cellStyle name="Процентный_Товары" xfId="7" xr:uid="{F858704C-39A8-4770-8E8E-080D13ABD25E}"/>
    <cellStyle name="Связанная ячейка" xfId="3" builtinId="24"/>
    <cellStyle name="Финансовый" xfId="1" builtinId="3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uble">
          <color indexed="64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/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/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indexed="55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indexed="55"/>
        </left>
        <right/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/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55"/>
        </left>
        <right/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55"/>
        </right>
        <top style="thin">
          <color indexed="55"/>
        </top>
        <bottom style="thin">
          <color indexed="5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rgb="FFA0A0A0"/>
        </left>
        <right style="thin">
          <color indexed="5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bgColor auto="1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rgb="FFA0A0A0"/>
        </left>
        <right/>
        <top style="thin">
          <color rgb="FFA0A0A0"/>
        </top>
        <bottom style="thin">
          <color rgb="FFA0A0A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andr.VORONOV/YandexDisk/_&#1053;&#1050;&#1058;/&#1056;&#1072;&#1073;&#1086;&#1095;&#1080;&#1081;%20&#1089;&#1090;&#1086;&#1083;%202026-05-25/09170%20&#1056;&#1077;&#1074;&#1080;&#1079;&#1080;&#1103;%20&#1079;&#1072;&#1082;&#1091;&#1087;&#1086;&#1082;/2026-04-23%20&#1056;&#1077;&#1077;&#1089;&#1090;&#1088;%20&#1079;&#1072;&#1082;&#1091;&#1087;&#1086;&#1082;%209170+195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_труд"/>
      <sheetName val="Заказы 9170+1955"/>
      <sheetName val="Товары 9170+1955"/>
      <sheetName val="СкладФакт"/>
      <sheetName val="Анализ_мат"/>
      <sheetName val="Ревизия итог"/>
      <sheetName val="Структура проекта"/>
      <sheetName val="Используем со склада"/>
      <sheetName val="Докупить"/>
      <sheetName val="Трудозатраты"/>
      <sheetName val="2026-04-23 Реестр закупок 9170+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47144-5219-4BFA-91F2-A9D6802D2F2E}" name="Таблица2" displayName="Таблица2" ref="A4:AC269" totalsRowCount="1" headerRowDxfId="59" dataDxfId="58" dataCellStyle="Примечание">
  <autoFilter ref="A4:AC268" xr:uid="{C2294363-5E50-4D46-8060-AB0D9276BB9F}"/>
  <tableColumns count="29">
    <tableColumn id="1" xr3:uid="{86532CFF-F61B-4469-8A14-D8B63E67AA62}" name="Номер заказа" totalsRowLabel="Итог" dataDxfId="57" totalsRowDxfId="56"/>
    <tableColumn id="2" xr3:uid="{C886C1DE-DEE7-4067-A3C1-AAEACD783F77}" name="N" dataDxfId="55" totalsRowDxfId="54" dataCellStyle="Примечание"/>
    <tableColumn id="3" xr3:uid="{55B3DAFB-3031-4C6F-87DF-0E30DEA4EDE2}" name="Номенклатура поставщика" dataDxfId="53" totalsRowDxfId="52" dataCellStyle="Примечание"/>
    <tableColumn id="4" xr3:uid="{FB89490A-6C95-47B1-AE47-793D5C3AD8AC}" name="Номенклатура" dataDxfId="51" totalsRowDxfId="50" dataCellStyle="Примечание"/>
    <tableColumn id="5" xr3:uid="{700C5788-B5EA-4E88-8651-7C2C7029B940}" name="Назначение" dataDxfId="49" totalsRowDxfId="48" dataCellStyle="Примечание"/>
    <tableColumn id="6" xr3:uid="{73D29200-067F-4743-92EE-8717CA1725D5}" name="Кол-во" dataDxfId="47" totalsRowDxfId="46" dataCellStyle="Примечание"/>
    <tableColumn id="7" xr3:uid="{BF9DB79D-DDD9-45DD-812D-0A37241219D7}" name="Упаковка" dataDxfId="45" totalsRowDxfId="44" dataCellStyle="Примечание"/>
    <tableColumn id="8" xr3:uid="{C8D97A4E-1F5E-417F-BB27-014C92D96555}" name="Ед. изм." dataDxfId="43" totalsRowDxfId="42" dataCellStyle="Примечание"/>
    <tableColumn id="9" xr3:uid="{51103B43-E17B-42C4-ABF8-3269A55D4304}" name="Вид цены" dataDxfId="41" totalsRowDxfId="40" dataCellStyle="Примечание"/>
    <tableColumn id="10" xr3:uid="{E52064EC-3581-401A-89AC-4BFCC673715E}" name="Цена" dataDxfId="39" totalsRowDxfId="38" dataCellStyle="Связанная ячейка"/>
    <tableColumn id="11" xr3:uid="{0C599ECE-164D-41C3-ACED-A0E53B62070E}" name="Сумма" totalsRowFunction="sum" dataDxfId="37" totalsRowDxfId="36" dataCellStyle="Связанная ячейка"/>
    <tableColumn id="12" xr3:uid="{01D2A79F-0F61-49AF-B0CD-3C24FEC4C7F4}" name="Ставка НДС" dataDxfId="35" totalsRowDxfId="34" dataCellStyle="Пояснение"/>
    <tableColumn id="13" xr3:uid="{CEAF96A2-B73C-46E2-AC87-748D0C1DB47D}" name="НДС" dataDxfId="33" totalsRowDxfId="32" dataCellStyle="Связанная ячейка"/>
    <tableColumn id="14" xr3:uid="{78E250EF-B008-46C4-9C45-76511F323146}" name="Сумма с НДС" totalsRowFunction="sum" dataDxfId="31" totalsRowDxfId="30" dataCellStyle="Связанная ячейка"/>
    <tableColumn id="24" xr3:uid="{CCD5E7D5-F427-4FB7-9954-2B3E55A364AB}" name="Сумма без НДС" totalsRowFunction="sum" dataDxfId="29" totalsRowDxfId="28" dataCellStyle="Связанная ячейка">
      <calculatedColumnFormula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calculatedColumnFormula>
    </tableColumn>
    <tableColumn id="15" xr3:uid="{E71BB7D5-05A0-448D-85FB-9E1B5C2C38EA}" name="Склад" dataDxfId="27" totalsRowDxfId="26" dataCellStyle="Примечание"/>
    <tableColumn id="16" xr3:uid="{0367E2F5-04D6-463B-9901-7182A6D2F0B2}" name="Подразделение-получатель" dataDxfId="25" totalsRowDxfId="24" dataCellStyle="Примечание"/>
    <tableColumn id="17" xr3:uid="{C0A7A6D8-92D0-4C1A-B554-6B4990976AED}" name="Проектная задача" dataDxfId="23" totalsRowDxfId="22" dataCellStyle="Примечание"/>
    <tableColumn id="18" xr3:uid="{B534FBCD-00E9-4D66-9574-22471697B643}" name="Проект" dataDxfId="21" totalsRowDxfId="20" dataCellStyle="Примечание"/>
    <tableColumn id="19" xr3:uid="{FE80B90F-82A3-4C28-B544-8767CD598F71}" name="Статья расходов" dataDxfId="19" totalsRowDxfId="18" dataCellStyle="Примечание"/>
    <tableColumn id="20" xr3:uid="{59E9A560-EEAA-476E-81D1-69559555E0EF}" name="Списать на расходы" dataDxfId="17" totalsRowDxfId="16" dataCellStyle="Примечание"/>
    <tableColumn id="21" xr3:uid="{FB649859-6AD0-4BB2-A461-23F6245BC948}" name="Аналитика расходов" dataDxfId="15" totalsRowDxfId="14" dataCellStyle="Примечание"/>
    <tableColumn id="22" xr3:uid="{091F4871-3A81-4FE9-8F91-B7983125DF6C}" name="Отменено по причине" dataDxfId="13" totalsRowDxfId="12" dataCellStyle="Примечание"/>
    <tableColumn id="23" xr3:uid="{F6E089EF-16AE-486D-9145-A02479B12033}" name="Отменено" dataDxfId="11" totalsRowDxfId="10" dataCellStyle="Примечание"/>
    <tableColumn id="25" xr3:uid="{C66C99C7-8601-4C34-9E6D-0E002B6A97E4}" name="Поставщик" dataDxfId="9" totalsRowDxfId="8" dataCellStyle="Примечание">
      <calculatedColumnFormula>VLOOKUP(Таблица2[[#This Row],[Номер заказа]],[1]!Таблица1[#Data],MATCH("Поставщик",[1]!Таблица1[#Headers],0),FALSE)</calculatedColumnFormula>
    </tableColumn>
    <tableColumn id="26" xr3:uid="{903F84F7-854D-4795-A6E4-FFC1D95651F6}" name="Механизм" dataDxfId="7" totalsRowDxfId="6" dataCellStyle="Примечание"/>
    <tableColumn id="28" xr3:uid="{27034159-9B9E-43E7-BFF4-E5619F1C9149}" name="Дата" dataDxfId="5" totalsRowDxfId="4" dataCellStyle="Примечание">
      <calculatedColumnFormula>VLOOKUP(Таблица2[[#This Row],[Номер заказа]],[1]!Таблица1[#Data],MATCH("Дата",[1]!Таблица1[#Headers],0),FALSE)+0</calculatedColumnFormula>
    </tableColumn>
    <tableColumn id="29" xr3:uid="{F40DD826-E9C8-4A62-B14F-730B8F8F0CC0}" name="Валюта" dataDxfId="3" totalsRowDxfId="2" dataCellStyle="Примечание">
      <calculatedColumnFormula>VLOOKUP(Таблица2[[#This Row],[Номер заказа]],[1]!Таблица1[#Data],MATCH("Валюта",[1]!Таблица1[#Headers],0),FALSE)</calculatedColumnFormula>
    </tableColumn>
    <tableColumn id="27" xr3:uid="{BE75C006-E259-49F2-A09C-053FD12D2DD3}" name="Факт на складе" dataDxfId="1" totalsRowDxfId="0" dataCellStyle="Примечание">
      <calculatedColumnFormula>_xlfn.XLOOKUP(Таблица2[[#This Row],[Номенклатура]],[1]!Таблица24[Наименование],[1]!Таблица24[Кол-во],"Нет на складе",0)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8A168-0459-41B2-92D2-8200DCBE1A72}">
  <dimension ref="A1:AE269"/>
  <sheetViews>
    <sheetView tabSelected="1" zoomScale="130" zoomScaleNormal="130" workbookViewId="0">
      <pane ySplit="3" topLeftCell="A4" activePane="bottomLeft" state="frozen"/>
      <selection pane="bottomLeft" activeCell="D14" sqref="D14"/>
    </sheetView>
  </sheetViews>
  <sheetFormatPr defaultRowHeight="14.25" customHeight="1" x14ac:dyDescent="0.2"/>
  <cols>
    <col min="1" max="1" width="17.33203125" customWidth="1"/>
    <col min="2" max="2" width="8.5" customWidth="1"/>
    <col min="3" max="3" width="12" customWidth="1"/>
    <col min="4" max="4" width="63.5" customWidth="1"/>
    <col min="5" max="5" width="18.33203125" customWidth="1"/>
    <col min="6" max="6" width="13.33203125" bestFit="1" customWidth="1"/>
    <col min="7" max="7" width="15.6640625" customWidth="1"/>
    <col min="8" max="8" width="14.5" style="4" bestFit="1" customWidth="1"/>
    <col min="9" max="9" width="16.33203125" customWidth="1"/>
    <col min="10" max="10" width="11.83203125" style="9" customWidth="1"/>
    <col min="11" max="11" width="16.6640625" style="9" customWidth="1"/>
    <col min="12" max="12" width="11" style="4" customWidth="1"/>
    <col min="13" max="13" width="13.1640625" style="9" customWidth="1"/>
    <col min="14" max="14" width="15.6640625" style="9" customWidth="1"/>
    <col min="15" max="15" width="17.6640625" style="9" customWidth="1"/>
    <col min="16" max="16" width="16.33203125" customWidth="1"/>
    <col min="17" max="17" width="33.6640625" customWidth="1"/>
    <col min="18" max="18" width="82.6640625" customWidth="1"/>
    <col min="19" max="19" width="60.6640625" style="84" customWidth="1"/>
    <col min="20" max="20" width="23.33203125" bestFit="1" customWidth="1"/>
    <col min="21" max="21" width="26.83203125" customWidth="1"/>
    <col min="22" max="22" width="26.6640625" style="85" customWidth="1"/>
    <col min="23" max="23" width="40.83203125" customWidth="1"/>
    <col min="24" max="24" width="16.1640625" customWidth="1"/>
    <col min="25" max="25" width="23.33203125" style="86" customWidth="1"/>
    <col min="26" max="26" width="22.33203125" customWidth="1"/>
    <col min="27" max="27" width="13.33203125" customWidth="1"/>
    <col min="28" max="28" width="9.5" customWidth="1"/>
    <col min="29" max="29" width="15.1640625" customWidth="1"/>
    <col min="30" max="30" width="16.5" customWidth="1"/>
    <col min="31" max="31" width="9" style="9" customWidth="1"/>
    <col min="32" max="32" width="12.6640625" customWidth="1"/>
  </cols>
  <sheetData>
    <row r="1" spans="1:31" s="1" customFormat="1" ht="29.25" customHeight="1" x14ac:dyDescent="0.2">
      <c r="A1" s="88" t="s">
        <v>0</v>
      </c>
      <c r="B1" s="88" t="s">
        <v>1</v>
      </c>
      <c r="C1" s="88" t="s">
        <v>2</v>
      </c>
      <c r="D1" s="88" t="s">
        <v>3</v>
      </c>
      <c r="E1" s="88" t="s">
        <v>4</v>
      </c>
      <c r="F1" s="88" t="s">
        <v>5</v>
      </c>
      <c r="G1" s="88" t="s">
        <v>6</v>
      </c>
      <c r="H1" s="88" t="s">
        <v>7</v>
      </c>
      <c r="I1" s="88" t="s">
        <v>8</v>
      </c>
      <c r="J1" s="90" t="s">
        <v>9</v>
      </c>
      <c r="K1" s="90" t="s">
        <v>10</v>
      </c>
      <c r="L1" s="88" t="s">
        <v>11</v>
      </c>
      <c r="M1" s="90" t="s">
        <v>12</v>
      </c>
      <c r="N1" s="90" t="s">
        <v>13</v>
      </c>
      <c r="O1" s="90" t="s">
        <v>14</v>
      </c>
      <c r="P1" s="88" t="s">
        <v>15</v>
      </c>
      <c r="Q1" s="88" t="s">
        <v>16</v>
      </c>
      <c r="R1" s="88" t="s">
        <v>17</v>
      </c>
      <c r="S1" s="88" t="s">
        <v>18</v>
      </c>
      <c r="T1" s="88" t="s">
        <v>19</v>
      </c>
      <c r="U1" s="88" t="s">
        <v>20</v>
      </c>
      <c r="V1" s="88" t="s">
        <v>21</v>
      </c>
      <c r="W1" s="88" t="s">
        <v>22</v>
      </c>
      <c r="X1" s="89" t="s">
        <v>23</v>
      </c>
      <c r="Y1" s="87" t="s">
        <v>24</v>
      </c>
      <c r="Z1" s="88" t="s">
        <v>25</v>
      </c>
      <c r="AA1" s="88" t="s">
        <v>26</v>
      </c>
      <c r="AB1" s="88" t="s">
        <v>27</v>
      </c>
      <c r="AC1" s="88" t="s">
        <v>28</v>
      </c>
      <c r="AE1" s="2"/>
    </row>
    <row r="2" spans="1:31" s="1" customFormat="1" ht="15" customHeight="1" x14ac:dyDescent="0.2">
      <c r="A2" s="88"/>
      <c r="B2" s="88"/>
      <c r="C2" s="88"/>
      <c r="D2" s="88"/>
      <c r="E2" s="88"/>
      <c r="F2" s="88"/>
      <c r="G2" s="88"/>
      <c r="H2" s="88"/>
      <c r="I2" s="88"/>
      <c r="J2" s="90"/>
      <c r="K2" s="90"/>
      <c r="L2" s="88"/>
      <c r="M2" s="90"/>
      <c r="N2" s="90"/>
      <c r="O2" s="90"/>
      <c r="P2" s="88"/>
      <c r="Q2" s="88"/>
      <c r="R2" s="88"/>
      <c r="S2" s="88"/>
      <c r="T2" s="88"/>
      <c r="U2" s="88"/>
      <c r="V2" s="88"/>
      <c r="W2" s="88"/>
      <c r="X2" s="89"/>
      <c r="Y2" s="87"/>
      <c r="Z2" s="88"/>
      <c r="AA2" s="88"/>
      <c r="AB2" s="88"/>
      <c r="AC2" s="88"/>
      <c r="AD2" s="3" t="s">
        <v>29</v>
      </c>
      <c r="AE2" s="2">
        <v>90</v>
      </c>
    </row>
    <row r="3" spans="1:31" s="1" customFormat="1" ht="15" customHeight="1" x14ac:dyDescent="0.2">
      <c r="A3" s="88"/>
      <c r="B3" s="88"/>
      <c r="C3" s="88"/>
      <c r="D3" s="88"/>
      <c r="E3" s="88"/>
      <c r="F3" s="88"/>
      <c r="G3" s="88"/>
      <c r="H3" s="88"/>
      <c r="I3" s="88"/>
      <c r="J3" s="90"/>
      <c r="K3" s="90"/>
      <c r="L3" s="88"/>
      <c r="M3" s="90"/>
      <c r="N3" s="90"/>
      <c r="O3" s="90"/>
      <c r="P3" s="88"/>
      <c r="Q3" s="88"/>
      <c r="R3" s="88"/>
      <c r="S3" s="88"/>
      <c r="T3" s="88"/>
      <c r="U3" s="88"/>
      <c r="V3" s="88"/>
      <c r="W3" s="88"/>
      <c r="X3" s="89"/>
      <c r="Y3" s="87"/>
      <c r="Z3" s="88"/>
      <c r="AA3" s="88"/>
      <c r="AB3" s="88"/>
      <c r="AC3" s="88"/>
      <c r="AD3" s="3" t="s">
        <v>30</v>
      </c>
      <c r="AE3" s="2">
        <v>100</v>
      </c>
    </row>
    <row r="4" spans="1:31" ht="14.25" customHeight="1" x14ac:dyDescent="0.2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5" t="s">
        <v>9</v>
      </c>
      <c r="K4" s="5" t="s">
        <v>10</v>
      </c>
      <c r="L4" s="4" t="s">
        <v>11</v>
      </c>
      <c r="M4" s="5" t="s">
        <v>12</v>
      </c>
      <c r="N4" s="5" t="s">
        <v>13</v>
      </c>
      <c r="O4" s="5" t="s">
        <v>31</v>
      </c>
      <c r="P4" s="4" t="s">
        <v>15</v>
      </c>
      <c r="Q4" s="4" t="s">
        <v>16</v>
      </c>
      <c r="R4" s="4" t="s">
        <v>17</v>
      </c>
      <c r="S4" s="4" t="s">
        <v>18</v>
      </c>
      <c r="T4" s="4" t="s">
        <v>19</v>
      </c>
      <c r="U4" s="4" t="s">
        <v>20</v>
      </c>
      <c r="V4" s="6" t="s">
        <v>21</v>
      </c>
      <c r="W4" s="4" t="s">
        <v>22</v>
      </c>
      <c r="X4" s="4" t="s">
        <v>23</v>
      </c>
      <c r="Y4" s="7" t="s">
        <v>24</v>
      </c>
      <c r="Z4" s="4" t="s">
        <v>32</v>
      </c>
      <c r="AA4" s="4" t="s">
        <v>26</v>
      </c>
      <c r="AB4" s="8" t="s">
        <v>27</v>
      </c>
      <c r="AC4" s="8" t="s">
        <v>28</v>
      </c>
    </row>
    <row r="5" spans="1:31" ht="11.25" customHeight="1" x14ac:dyDescent="0.2">
      <c r="A5" s="10" t="s">
        <v>33</v>
      </c>
      <c r="B5" s="11">
        <v>1</v>
      </c>
      <c r="C5" s="12"/>
      <c r="D5" s="13" t="s">
        <v>34</v>
      </c>
      <c r="E5" s="12"/>
      <c r="F5" s="14">
        <v>16</v>
      </c>
      <c r="G5" s="12"/>
      <c r="H5" s="15" t="s">
        <v>35</v>
      </c>
      <c r="I5" s="12"/>
      <c r="J5" s="16">
        <v>456</v>
      </c>
      <c r="K5" s="16">
        <v>7296</v>
      </c>
      <c r="L5" s="17">
        <v>0.2</v>
      </c>
      <c r="M5" s="16">
        <v>1216</v>
      </c>
      <c r="N5" s="16">
        <v>7296</v>
      </c>
      <c r="O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6080</v>
      </c>
      <c r="P5" s="12" t="s">
        <v>36</v>
      </c>
      <c r="Q5" s="12" t="s">
        <v>37</v>
      </c>
      <c r="R5" s="13" t="s">
        <v>38</v>
      </c>
      <c r="S5" s="18" t="s">
        <v>39</v>
      </c>
      <c r="T5" s="12" t="s">
        <v>40</v>
      </c>
      <c r="U5" s="12" t="s">
        <v>41</v>
      </c>
      <c r="V5" s="19"/>
      <c r="W5" s="12"/>
      <c r="X5" s="20" t="s">
        <v>41</v>
      </c>
      <c r="Y5" s="21" t="str">
        <f>VLOOKUP(Таблица2[[#This Row],[Номер заказа]],[1]!Таблица1[#Data],MATCH("Поставщик",[1]!Таблица1[#Headers],0),FALSE)</f>
        <v>ПРУЖИННОЕ ПРОИЗВОДСТВО ООО</v>
      </c>
      <c r="Z5" s="22" t="s">
        <v>42</v>
      </c>
      <c r="AA5" s="23">
        <f>VLOOKUP(Таблица2[[#This Row],[Номер заказа]],[1]!Таблица1[#Data],MATCH("Дата",[1]!Таблица1[#Headers],0),FALSE)+0</f>
        <v>45490</v>
      </c>
      <c r="AB5" s="24" t="str">
        <f>VLOOKUP(Таблица2[[#This Row],[Номер заказа]],[1]!Таблица1[#Data],MATCH("Валюта",[1]!Таблица1[#Headers],0),FALSE)</f>
        <v>руб.</v>
      </c>
      <c r="AC5" s="24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" spans="1:31" ht="14.25" customHeight="1" x14ac:dyDescent="0.2">
      <c r="A6" s="10" t="s">
        <v>43</v>
      </c>
      <c r="B6" s="11">
        <v>1</v>
      </c>
      <c r="C6" s="12"/>
      <c r="D6" s="13" t="s">
        <v>44</v>
      </c>
      <c r="E6" s="12"/>
      <c r="F6" s="14">
        <v>1</v>
      </c>
      <c r="G6" s="12"/>
      <c r="H6" s="15" t="s">
        <v>35</v>
      </c>
      <c r="I6" s="12"/>
      <c r="J6" s="16">
        <v>4000</v>
      </c>
      <c r="K6" s="16">
        <v>4000</v>
      </c>
      <c r="L6" s="17">
        <v>0</v>
      </c>
      <c r="M6" s="16"/>
      <c r="N6" s="16">
        <v>4000</v>
      </c>
      <c r="O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4000</v>
      </c>
      <c r="P6" s="12" t="s">
        <v>36</v>
      </c>
      <c r="Q6" s="12" t="s">
        <v>37</v>
      </c>
      <c r="R6" s="13" t="s">
        <v>45</v>
      </c>
      <c r="S6" s="18" t="s">
        <v>46</v>
      </c>
      <c r="T6" s="12" t="s">
        <v>40</v>
      </c>
      <c r="U6" s="12" t="s">
        <v>47</v>
      </c>
      <c r="V6" s="19"/>
      <c r="W6" s="12"/>
      <c r="X6" s="20" t="s">
        <v>41</v>
      </c>
      <c r="Y6" s="25" t="str">
        <f>VLOOKUP(Таблица2[[#This Row],[Номер заказа]],[1]!Таблица1[#Data],MATCH("Поставщик",[1]!Таблица1[#Headers],0),FALSE)</f>
        <v>ПРОМЕТЕЙ ООО</v>
      </c>
      <c r="Z6" s="26" t="s">
        <v>48</v>
      </c>
      <c r="AA6" s="27">
        <f>VLOOKUP(Таблица2[[#This Row],[Номер заказа]],[1]!Таблица1[#Data],MATCH("Дата",[1]!Таблица1[#Headers],0),FALSE)+0</f>
        <v>45510</v>
      </c>
      <c r="AB6" s="28" t="str">
        <f>VLOOKUP(Таблица2[[#This Row],[Номер заказа]],[1]!Таблица1[#Data],MATCH("Валюта",[1]!Таблица1[#Headers],0),FALSE)</f>
        <v>руб.</v>
      </c>
      <c r="AC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" spans="1:31" ht="14.25" customHeight="1" x14ac:dyDescent="0.2">
      <c r="A7" s="10" t="s">
        <v>43</v>
      </c>
      <c r="B7" s="11">
        <v>2</v>
      </c>
      <c r="C7" s="12"/>
      <c r="D7" s="13" t="s">
        <v>49</v>
      </c>
      <c r="E7" s="12"/>
      <c r="F7" s="14">
        <v>1</v>
      </c>
      <c r="G7" s="12"/>
      <c r="H7" s="15" t="s">
        <v>35</v>
      </c>
      <c r="I7" s="12"/>
      <c r="J7" s="16">
        <v>500</v>
      </c>
      <c r="K7" s="16">
        <v>500</v>
      </c>
      <c r="L7" s="17">
        <v>0</v>
      </c>
      <c r="M7" s="16"/>
      <c r="N7" s="16">
        <v>500</v>
      </c>
      <c r="O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500</v>
      </c>
      <c r="P7" s="12" t="s">
        <v>36</v>
      </c>
      <c r="Q7" s="12" t="s">
        <v>37</v>
      </c>
      <c r="R7" s="13" t="s">
        <v>45</v>
      </c>
      <c r="S7" s="18" t="s">
        <v>46</v>
      </c>
      <c r="T7" s="12" t="s">
        <v>40</v>
      </c>
      <c r="U7" s="12" t="s">
        <v>47</v>
      </c>
      <c r="V7" s="19"/>
      <c r="W7" s="12"/>
      <c r="X7" s="20" t="s">
        <v>41</v>
      </c>
      <c r="Y7" s="25" t="str">
        <f>VLOOKUP(Таблица2[[#This Row],[Номер заказа]],[1]!Таблица1[#Data],MATCH("Поставщик",[1]!Таблица1[#Headers],0),FALSE)</f>
        <v>ПРОМЕТЕЙ ООО</v>
      </c>
      <c r="Z7" s="26" t="s">
        <v>48</v>
      </c>
      <c r="AA7" s="27">
        <f>VLOOKUP(Таблица2[[#This Row],[Номер заказа]],[1]!Таблица1[#Data],MATCH("Дата",[1]!Таблица1[#Headers],0),FALSE)+0</f>
        <v>45510</v>
      </c>
      <c r="AB7" s="28" t="str">
        <f>VLOOKUP(Таблица2[[#This Row],[Номер заказа]],[1]!Таблица1[#Data],MATCH("Валюта",[1]!Таблица1[#Headers],0),FALSE)</f>
        <v>руб.</v>
      </c>
      <c r="AC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" spans="1:31" ht="14.25" customHeight="1" x14ac:dyDescent="0.2">
      <c r="A8" s="10" t="s">
        <v>43</v>
      </c>
      <c r="B8" s="11">
        <v>3</v>
      </c>
      <c r="C8" s="12"/>
      <c r="D8" s="13" t="s">
        <v>50</v>
      </c>
      <c r="E8" s="12"/>
      <c r="F8" s="14">
        <v>1</v>
      </c>
      <c r="G8" s="12"/>
      <c r="H8" s="15" t="s">
        <v>35</v>
      </c>
      <c r="I8" s="12"/>
      <c r="J8" s="16">
        <v>2500</v>
      </c>
      <c r="K8" s="16">
        <v>2500</v>
      </c>
      <c r="L8" s="17">
        <v>0</v>
      </c>
      <c r="M8" s="16"/>
      <c r="N8" s="16">
        <v>2500</v>
      </c>
      <c r="O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2500</v>
      </c>
      <c r="P8" s="12" t="s">
        <v>36</v>
      </c>
      <c r="Q8" s="12" t="s">
        <v>37</v>
      </c>
      <c r="R8" s="13" t="s">
        <v>45</v>
      </c>
      <c r="S8" s="18" t="s">
        <v>46</v>
      </c>
      <c r="T8" s="12" t="s">
        <v>40</v>
      </c>
      <c r="U8" s="12" t="s">
        <v>47</v>
      </c>
      <c r="V8" s="19"/>
      <c r="W8" s="12"/>
      <c r="X8" s="20" t="s">
        <v>41</v>
      </c>
      <c r="Y8" s="25" t="str">
        <f>VLOOKUP(Таблица2[[#This Row],[Номер заказа]],[1]!Таблица1[#Data],MATCH("Поставщик",[1]!Таблица1[#Headers],0),FALSE)</f>
        <v>ПРОМЕТЕЙ ООО</v>
      </c>
      <c r="Z8" s="26" t="s">
        <v>48</v>
      </c>
      <c r="AA8" s="27">
        <f>VLOOKUP(Таблица2[[#This Row],[Номер заказа]],[1]!Таблица1[#Data],MATCH("Дата",[1]!Таблица1[#Headers],0),FALSE)+0</f>
        <v>45510</v>
      </c>
      <c r="AB8" s="28" t="str">
        <f>VLOOKUP(Таблица2[[#This Row],[Номер заказа]],[1]!Таблица1[#Data],MATCH("Валюта",[1]!Таблица1[#Headers],0),FALSE)</f>
        <v>руб.</v>
      </c>
      <c r="AC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" spans="1:31" ht="14.25" customHeight="1" x14ac:dyDescent="0.2">
      <c r="A9" s="10" t="s">
        <v>51</v>
      </c>
      <c r="B9" s="11">
        <v>1</v>
      </c>
      <c r="C9" s="12"/>
      <c r="D9" s="13" t="s">
        <v>52</v>
      </c>
      <c r="E9" s="12"/>
      <c r="F9" s="14">
        <v>1</v>
      </c>
      <c r="G9" s="12"/>
      <c r="H9" s="15" t="s">
        <v>35</v>
      </c>
      <c r="I9" s="12"/>
      <c r="J9" s="16">
        <v>41616</v>
      </c>
      <c r="K9" s="16">
        <v>41616</v>
      </c>
      <c r="L9" s="17">
        <v>0.2</v>
      </c>
      <c r="M9" s="16">
        <v>6936</v>
      </c>
      <c r="N9" s="16">
        <v>41616</v>
      </c>
      <c r="O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34680</v>
      </c>
      <c r="P9" s="12" t="s">
        <v>36</v>
      </c>
      <c r="Q9" s="12" t="s">
        <v>53</v>
      </c>
      <c r="R9" s="13" t="s">
        <v>54</v>
      </c>
      <c r="S9" s="18" t="s">
        <v>46</v>
      </c>
      <c r="T9" s="12" t="s">
        <v>40</v>
      </c>
      <c r="U9" s="12" t="s">
        <v>41</v>
      </c>
      <c r="V9" s="19" t="s">
        <v>55</v>
      </c>
      <c r="W9" s="26"/>
      <c r="X9" s="29" t="s">
        <v>41</v>
      </c>
      <c r="Y9" s="25" t="str">
        <f>VLOOKUP(Таблица2[[#This Row],[Номер заказа]],[1]!Таблица1[#Data],MATCH("Поставщик",[1]!Таблица1[#Headers],0),FALSE)</f>
        <v>АЛЬФА-ГИДРАВЛИКА ООО</v>
      </c>
      <c r="Z9" s="26" t="s">
        <v>56</v>
      </c>
      <c r="AA9" s="27">
        <f>VLOOKUP(Таблица2[[#This Row],[Номер заказа]],[1]!Таблица1[#Data],MATCH("Дата",[1]!Таблица1[#Headers],0),FALSE)+0</f>
        <v>45518</v>
      </c>
      <c r="AB9" s="28" t="str">
        <f>VLOOKUP(Таблица2[[#This Row],[Номер заказа]],[1]!Таблица1[#Data],MATCH("Валюта",[1]!Таблица1[#Headers],0),FALSE)</f>
        <v>руб.</v>
      </c>
      <c r="AC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" spans="1:31" ht="14.25" customHeight="1" x14ac:dyDescent="0.2">
      <c r="A10" s="10" t="s">
        <v>51</v>
      </c>
      <c r="B10" s="11">
        <v>2</v>
      </c>
      <c r="C10" s="12"/>
      <c r="D10" s="13" t="s">
        <v>57</v>
      </c>
      <c r="E10" s="12"/>
      <c r="F10" s="14">
        <v>1</v>
      </c>
      <c r="G10" s="12"/>
      <c r="H10" s="15" t="s">
        <v>35</v>
      </c>
      <c r="I10" s="12"/>
      <c r="J10" s="16">
        <v>1464</v>
      </c>
      <c r="K10" s="16">
        <v>1464</v>
      </c>
      <c r="L10" s="17">
        <v>0.2</v>
      </c>
      <c r="M10" s="16">
        <v>244</v>
      </c>
      <c r="N10" s="16">
        <v>1464</v>
      </c>
      <c r="O1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1220</v>
      </c>
      <c r="P10" s="12" t="s">
        <v>36</v>
      </c>
      <c r="Q10" s="12" t="s">
        <v>53</v>
      </c>
      <c r="R10" s="13" t="s">
        <v>54</v>
      </c>
      <c r="S10" s="18" t="s">
        <v>46</v>
      </c>
      <c r="T10" s="12" t="s">
        <v>40</v>
      </c>
      <c r="U10" s="12" t="s">
        <v>41</v>
      </c>
      <c r="V10" s="19" t="s">
        <v>55</v>
      </c>
      <c r="W10" s="26"/>
      <c r="X10" s="29" t="s">
        <v>41</v>
      </c>
      <c r="Y10" s="25" t="str">
        <f>VLOOKUP(Таблица2[[#This Row],[Номер заказа]],[1]!Таблица1[#Data],MATCH("Поставщик",[1]!Таблица1[#Headers],0),FALSE)</f>
        <v>АЛЬФА-ГИДРАВЛИКА ООО</v>
      </c>
      <c r="Z10" s="26" t="s">
        <v>56</v>
      </c>
      <c r="AA10" s="27">
        <f>VLOOKUP(Таблица2[[#This Row],[Номер заказа]],[1]!Таблица1[#Data],MATCH("Дата",[1]!Таблица1[#Headers],0),FALSE)+0</f>
        <v>45518</v>
      </c>
      <c r="AB10" s="28" t="str">
        <f>VLOOKUP(Таблица2[[#This Row],[Номер заказа]],[1]!Таблица1[#Data],MATCH("Валюта",[1]!Таблица1[#Headers],0),FALSE)</f>
        <v>руб.</v>
      </c>
      <c r="AC1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1" spans="1:31" ht="14.25" customHeight="1" x14ac:dyDescent="0.2">
      <c r="A11" s="10" t="s">
        <v>51</v>
      </c>
      <c r="B11" s="11">
        <v>3</v>
      </c>
      <c r="C11" s="12"/>
      <c r="D11" s="13" t="s">
        <v>58</v>
      </c>
      <c r="E11" s="12"/>
      <c r="F11" s="14">
        <v>2</v>
      </c>
      <c r="G11" s="12"/>
      <c r="H11" s="15" t="s">
        <v>35</v>
      </c>
      <c r="I11" s="12"/>
      <c r="J11" s="16">
        <v>129300</v>
      </c>
      <c r="K11" s="16">
        <v>258600</v>
      </c>
      <c r="L11" s="17">
        <v>0.2</v>
      </c>
      <c r="M11" s="16">
        <v>43100</v>
      </c>
      <c r="N11" s="16">
        <v>258600</v>
      </c>
      <c r="O1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215500</v>
      </c>
      <c r="P11" s="12" t="s">
        <v>36</v>
      </c>
      <c r="Q11" s="12" t="s">
        <v>53</v>
      </c>
      <c r="R11" s="13" t="s">
        <v>54</v>
      </c>
      <c r="S11" s="18" t="s">
        <v>46</v>
      </c>
      <c r="T11" s="12" t="s">
        <v>40</v>
      </c>
      <c r="U11" s="12" t="s">
        <v>41</v>
      </c>
      <c r="V11" s="19" t="s">
        <v>55</v>
      </c>
      <c r="W11" s="26"/>
      <c r="X11" s="29" t="s">
        <v>41</v>
      </c>
      <c r="Y11" s="25" t="str">
        <f>VLOOKUP(Таблица2[[#This Row],[Номер заказа]],[1]!Таблица1[#Data],MATCH("Поставщик",[1]!Таблица1[#Headers],0),FALSE)</f>
        <v>АЛЬФА-ГИДРАВЛИКА ООО</v>
      </c>
      <c r="Z11" s="26" t="s">
        <v>56</v>
      </c>
      <c r="AA11" s="27">
        <f>VLOOKUP(Таблица2[[#This Row],[Номер заказа]],[1]!Таблица1[#Data],MATCH("Дата",[1]!Таблица1[#Headers],0),FALSE)+0</f>
        <v>45518</v>
      </c>
      <c r="AB11" s="28" t="str">
        <f>VLOOKUP(Таблица2[[#This Row],[Номер заказа]],[1]!Таблица1[#Data],MATCH("Валюта",[1]!Таблица1[#Headers],0),FALSE)</f>
        <v>руб.</v>
      </c>
      <c r="AC1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2" spans="1:31" ht="14.25" customHeight="1" x14ac:dyDescent="0.2">
      <c r="A12" s="10" t="s">
        <v>51</v>
      </c>
      <c r="B12" s="11">
        <v>4</v>
      </c>
      <c r="C12" s="12"/>
      <c r="D12" s="13" t="s">
        <v>59</v>
      </c>
      <c r="E12" s="12"/>
      <c r="F12" s="14">
        <v>2</v>
      </c>
      <c r="G12" s="12"/>
      <c r="H12" s="15" t="s">
        <v>35</v>
      </c>
      <c r="I12" s="12"/>
      <c r="J12" s="16">
        <v>4104</v>
      </c>
      <c r="K12" s="16">
        <v>8208</v>
      </c>
      <c r="L12" s="17">
        <v>0.2</v>
      </c>
      <c r="M12" s="16">
        <v>1368</v>
      </c>
      <c r="N12" s="16">
        <v>8208</v>
      </c>
      <c r="O1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6840</v>
      </c>
      <c r="P12" s="12" t="s">
        <v>36</v>
      </c>
      <c r="Q12" s="12" t="s">
        <v>53</v>
      </c>
      <c r="R12" s="13" t="s">
        <v>54</v>
      </c>
      <c r="S12" s="18" t="s">
        <v>46</v>
      </c>
      <c r="T12" s="12" t="s">
        <v>40</v>
      </c>
      <c r="U12" s="12" t="s">
        <v>41</v>
      </c>
      <c r="V12" s="19" t="s">
        <v>55</v>
      </c>
      <c r="W12" s="26"/>
      <c r="X12" s="29" t="s">
        <v>41</v>
      </c>
      <c r="Y12" s="25" t="str">
        <f>VLOOKUP(Таблица2[[#This Row],[Номер заказа]],[1]!Таблица1[#Data],MATCH("Поставщик",[1]!Таблица1[#Headers],0),FALSE)</f>
        <v>АЛЬФА-ГИДРАВЛИКА ООО</v>
      </c>
      <c r="Z12" s="26" t="s">
        <v>56</v>
      </c>
      <c r="AA12" s="27">
        <f>VLOOKUP(Таблица2[[#This Row],[Номер заказа]],[1]!Таблица1[#Data],MATCH("Дата",[1]!Таблица1[#Headers],0),FALSE)+0</f>
        <v>45518</v>
      </c>
      <c r="AB12" s="28" t="str">
        <f>VLOOKUP(Таблица2[[#This Row],[Номер заказа]],[1]!Таблица1[#Data],MATCH("Валюта",[1]!Таблица1[#Headers],0),FALSE)</f>
        <v>руб.</v>
      </c>
      <c r="AC1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3" spans="1:31" ht="14.25" customHeight="1" x14ac:dyDescent="0.2">
      <c r="A13" s="10" t="s">
        <v>60</v>
      </c>
      <c r="B13" s="11">
        <v>1</v>
      </c>
      <c r="C13" s="12"/>
      <c r="D13" s="13" t="s">
        <v>61</v>
      </c>
      <c r="E13" s="12"/>
      <c r="F13" s="14">
        <v>2</v>
      </c>
      <c r="G13" s="12"/>
      <c r="H13" s="15" t="s">
        <v>35</v>
      </c>
      <c r="I13" s="12"/>
      <c r="J13" s="16">
        <v>177816</v>
      </c>
      <c r="K13" s="16">
        <v>355632</v>
      </c>
      <c r="L13" s="17">
        <v>0.2</v>
      </c>
      <c r="M13" s="16">
        <v>59272</v>
      </c>
      <c r="N13" s="16">
        <v>355632</v>
      </c>
      <c r="O1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296360</v>
      </c>
      <c r="P13" s="12" t="s">
        <v>36</v>
      </c>
      <c r="Q13" s="12" t="s">
        <v>53</v>
      </c>
      <c r="R13" s="13" t="s">
        <v>62</v>
      </c>
      <c r="S13" s="18" t="s">
        <v>63</v>
      </c>
      <c r="T13" s="12" t="s">
        <v>40</v>
      </c>
      <c r="U13" s="12" t="s">
        <v>41</v>
      </c>
      <c r="V13" s="19" t="s">
        <v>64</v>
      </c>
      <c r="W13" s="26"/>
      <c r="X13" s="29" t="s">
        <v>41</v>
      </c>
      <c r="Y13" s="25" t="str">
        <f>VLOOKUP(Таблица2[[#This Row],[Номер заказа]],[1]!Таблица1[#Data],MATCH("Поставщик",[1]!Таблица1[#Headers],0),FALSE)</f>
        <v>АЛЬФА-ГИДРАВЛИКА ООО</v>
      </c>
      <c r="Z13" s="26" t="s">
        <v>65</v>
      </c>
      <c r="AA13" s="27">
        <f>VLOOKUP(Таблица2[[#This Row],[Номер заказа]],[1]!Таблица1[#Data],MATCH("Дата",[1]!Таблица1[#Headers],0),FALSE)+0</f>
        <v>45518</v>
      </c>
      <c r="AB13" s="28" t="str">
        <f>VLOOKUP(Таблица2[[#This Row],[Номер заказа]],[1]!Таблица1[#Data],MATCH("Валюта",[1]!Таблица1[#Headers],0),FALSE)</f>
        <v>руб.</v>
      </c>
      <c r="AC1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4" spans="1:31" ht="14.25" customHeight="1" x14ac:dyDescent="0.2">
      <c r="A14" s="10" t="s">
        <v>66</v>
      </c>
      <c r="B14" s="11">
        <v>1</v>
      </c>
      <c r="C14" s="12"/>
      <c r="D14" s="13" t="s">
        <v>67</v>
      </c>
      <c r="E14" s="12"/>
      <c r="F14" s="14">
        <v>2</v>
      </c>
      <c r="G14" s="12"/>
      <c r="H14" s="15" t="s">
        <v>35</v>
      </c>
      <c r="I14" s="12"/>
      <c r="J14" s="16">
        <v>1947.75</v>
      </c>
      <c r="K14" s="16">
        <v>3895.5</v>
      </c>
      <c r="L14" s="17">
        <v>0.2</v>
      </c>
      <c r="M14" s="16">
        <v>649.25</v>
      </c>
      <c r="N14" s="16">
        <v>3895.5</v>
      </c>
      <c r="O1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3246.25</v>
      </c>
      <c r="P14" s="12" t="s">
        <v>68</v>
      </c>
      <c r="Q14" s="12"/>
      <c r="R14" s="13" t="s">
        <v>69</v>
      </c>
      <c r="S14" s="18" t="s">
        <v>63</v>
      </c>
      <c r="T14" s="12"/>
      <c r="U14" s="12" t="s">
        <v>41</v>
      </c>
      <c r="V14" s="19" t="s">
        <v>70</v>
      </c>
      <c r="W14" s="26"/>
      <c r="X14" s="29" t="s">
        <v>41</v>
      </c>
      <c r="Y14" s="25" t="str">
        <f>VLOOKUP(Таблица2[[#This Row],[Номер заказа]],[1]!Таблица1[#Data],MATCH("Поставщик",[1]!Таблица1[#Headers],0),FALSE)</f>
        <v>КОЛЕСОМАРКЕТ ООО</v>
      </c>
      <c r="Z14" s="26" t="s">
        <v>71</v>
      </c>
      <c r="AA14" s="27">
        <f>VLOOKUP(Таблица2[[#This Row],[Номер заказа]],[1]!Таблица1[#Data],MATCH("Дата",[1]!Таблица1[#Headers],0),FALSE)+0</f>
        <v>45523</v>
      </c>
      <c r="AB14" s="28" t="str">
        <f>VLOOKUP(Таблица2[[#This Row],[Номер заказа]],[1]!Таблица1[#Data],MATCH("Валюта",[1]!Таблица1[#Headers],0),FALSE)</f>
        <v>руб.</v>
      </c>
      <c r="AC1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5" spans="1:31" ht="14.25" customHeight="1" x14ac:dyDescent="0.2">
      <c r="A15" s="10" t="s">
        <v>66</v>
      </c>
      <c r="B15" s="11">
        <v>2</v>
      </c>
      <c r="C15" s="12"/>
      <c r="D15" s="13" t="s">
        <v>72</v>
      </c>
      <c r="E15" s="12"/>
      <c r="F15" s="14">
        <v>1</v>
      </c>
      <c r="G15" s="12"/>
      <c r="H15" s="15" t="s">
        <v>35</v>
      </c>
      <c r="I15" s="12"/>
      <c r="J15" s="16">
        <v>5375.2</v>
      </c>
      <c r="K15" s="16">
        <v>5375.2</v>
      </c>
      <c r="L15" s="17">
        <v>0.2</v>
      </c>
      <c r="M15" s="16">
        <v>895.87</v>
      </c>
      <c r="N15" s="16">
        <v>5375.2</v>
      </c>
      <c r="O1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4479.33</v>
      </c>
      <c r="P15" s="12" t="s">
        <v>68</v>
      </c>
      <c r="Q15" s="12"/>
      <c r="R15" s="13" t="s">
        <v>69</v>
      </c>
      <c r="S15" s="18" t="s">
        <v>63</v>
      </c>
      <c r="T15" s="12"/>
      <c r="U15" s="12" t="s">
        <v>41</v>
      </c>
      <c r="V15" s="19" t="s">
        <v>70</v>
      </c>
      <c r="W15" s="26"/>
      <c r="X15" s="29" t="s">
        <v>41</v>
      </c>
      <c r="Y15" s="25" t="str">
        <f>VLOOKUP(Таблица2[[#This Row],[Номер заказа]],[1]!Таблица1[#Data],MATCH("Поставщик",[1]!Таблица1[#Headers],0),FALSE)</f>
        <v>КОЛЕСОМАРКЕТ ООО</v>
      </c>
      <c r="Z15" s="26" t="s">
        <v>71</v>
      </c>
      <c r="AA15" s="27">
        <f>VLOOKUP(Таблица2[[#This Row],[Номер заказа]],[1]!Таблица1[#Data],MATCH("Дата",[1]!Таблица1[#Headers],0),FALSE)+0</f>
        <v>45523</v>
      </c>
      <c r="AB15" s="28" t="str">
        <f>VLOOKUP(Таблица2[[#This Row],[Номер заказа]],[1]!Таблица1[#Data],MATCH("Валюта",[1]!Таблица1[#Headers],0),FALSE)</f>
        <v>руб.</v>
      </c>
      <c r="AC1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6" spans="1:31" ht="14.25" customHeight="1" x14ac:dyDescent="0.2">
      <c r="A16" s="10" t="s">
        <v>73</v>
      </c>
      <c r="B16" s="11">
        <v>1</v>
      </c>
      <c r="C16" s="12"/>
      <c r="D16" s="13" t="s">
        <v>74</v>
      </c>
      <c r="E16" s="12"/>
      <c r="F16" s="14">
        <v>1</v>
      </c>
      <c r="G16" s="12"/>
      <c r="H16" s="15" t="s">
        <v>35</v>
      </c>
      <c r="I16" s="12"/>
      <c r="J16" s="16">
        <v>962</v>
      </c>
      <c r="K16" s="16">
        <v>962</v>
      </c>
      <c r="L16" s="17">
        <v>0.2</v>
      </c>
      <c r="M16" s="16">
        <v>160.33000000000001</v>
      </c>
      <c r="N16" s="16">
        <v>962</v>
      </c>
      <c r="O1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801.67</v>
      </c>
      <c r="P16" s="12"/>
      <c r="Q16" s="12" t="s">
        <v>53</v>
      </c>
      <c r="R16" s="13" t="s">
        <v>75</v>
      </c>
      <c r="S16" s="18" t="s">
        <v>46</v>
      </c>
      <c r="T16" s="12" t="s">
        <v>71</v>
      </c>
      <c r="U16" s="12" t="s">
        <v>47</v>
      </c>
      <c r="V16" s="19" t="s">
        <v>76</v>
      </c>
      <c r="W16" s="26"/>
      <c r="X16" s="29" t="s">
        <v>41</v>
      </c>
      <c r="Y16" s="25" t="str">
        <f>VLOOKUP(Таблица2[[#This Row],[Номер заказа]],[1]!Таблица1[#Data],MATCH("Поставщик",[1]!Таблица1[#Headers],0),FALSE)</f>
        <v>ДЕЛОВЫЕ ЛИНИИ ООО</v>
      </c>
      <c r="Z16" s="26" t="s">
        <v>71</v>
      </c>
      <c r="AA16" s="27">
        <f>VLOOKUP(Таблица2[[#This Row],[Номер заказа]],[1]!Таблица1[#Data],MATCH("Дата",[1]!Таблица1[#Headers],0),FALSE)+0</f>
        <v>45537</v>
      </c>
      <c r="AB16" s="28" t="str">
        <f>VLOOKUP(Таблица2[[#This Row],[Номер заказа]],[1]!Таблица1[#Data],MATCH("Валюта",[1]!Таблица1[#Headers],0),FALSE)</f>
        <v>руб.</v>
      </c>
      <c r="AC1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7" spans="1:29" ht="14.25" customHeight="1" x14ac:dyDescent="0.2">
      <c r="A17" s="10" t="s">
        <v>73</v>
      </c>
      <c r="B17" s="11">
        <v>2</v>
      </c>
      <c r="C17" s="12"/>
      <c r="D17" s="13" t="s">
        <v>77</v>
      </c>
      <c r="E17" s="12"/>
      <c r="F17" s="14">
        <v>1</v>
      </c>
      <c r="G17" s="12"/>
      <c r="H17" s="15" t="s">
        <v>35</v>
      </c>
      <c r="I17" s="12"/>
      <c r="J17" s="16">
        <v>15</v>
      </c>
      <c r="K17" s="16">
        <v>15</v>
      </c>
      <c r="L17" s="17">
        <v>0.2</v>
      </c>
      <c r="M17" s="16">
        <v>2.5</v>
      </c>
      <c r="N17" s="16">
        <v>15</v>
      </c>
      <c r="O1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17" s="12"/>
      <c r="Q17" s="12" t="s">
        <v>53</v>
      </c>
      <c r="R17" s="13" t="s">
        <v>75</v>
      </c>
      <c r="S17" s="18" t="s">
        <v>46</v>
      </c>
      <c r="T17" s="12" t="s">
        <v>71</v>
      </c>
      <c r="U17" s="12" t="s">
        <v>47</v>
      </c>
      <c r="V17" s="19" t="s">
        <v>76</v>
      </c>
      <c r="W17" s="26"/>
      <c r="X17" s="29" t="s">
        <v>41</v>
      </c>
      <c r="Y17" s="25" t="str">
        <f>VLOOKUP(Таблица2[[#This Row],[Номер заказа]],[1]!Таблица1[#Data],MATCH("Поставщик",[1]!Таблица1[#Headers],0),FALSE)</f>
        <v>ДЕЛОВЫЕ ЛИНИИ ООО</v>
      </c>
      <c r="Z17" s="26" t="s">
        <v>71</v>
      </c>
      <c r="AA17" s="27">
        <f>VLOOKUP(Таблица2[[#This Row],[Номер заказа]],[1]!Таблица1[#Data],MATCH("Дата",[1]!Таблица1[#Headers],0),FALSE)+0</f>
        <v>45537</v>
      </c>
      <c r="AB17" s="28" t="str">
        <f>VLOOKUP(Таблица2[[#This Row],[Номер заказа]],[1]!Таблица1[#Data],MATCH("Валюта",[1]!Таблица1[#Headers],0),FALSE)</f>
        <v>руб.</v>
      </c>
      <c r="AC1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" spans="1:29" ht="14.25" customHeight="1" x14ac:dyDescent="0.2">
      <c r="A18" s="10" t="s">
        <v>73</v>
      </c>
      <c r="B18" s="11">
        <v>3</v>
      </c>
      <c r="C18" s="12"/>
      <c r="D18" s="13" t="s">
        <v>78</v>
      </c>
      <c r="E18" s="12"/>
      <c r="F18" s="14">
        <v>1</v>
      </c>
      <c r="G18" s="12"/>
      <c r="H18" s="15" t="s">
        <v>35</v>
      </c>
      <c r="I18" s="12"/>
      <c r="J18" s="16">
        <v>153</v>
      </c>
      <c r="K18" s="16">
        <v>153</v>
      </c>
      <c r="L18" s="17">
        <v>0</v>
      </c>
      <c r="M18" s="16"/>
      <c r="N18" s="16">
        <v>153</v>
      </c>
      <c r="O1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153</v>
      </c>
      <c r="P18" s="12"/>
      <c r="Q18" s="12" t="s">
        <v>53</v>
      </c>
      <c r="R18" s="13" t="s">
        <v>75</v>
      </c>
      <c r="S18" s="18" t="s">
        <v>46</v>
      </c>
      <c r="T18" s="12" t="s">
        <v>71</v>
      </c>
      <c r="U18" s="12" t="s">
        <v>47</v>
      </c>
      <c r="V18" s="19" t="s">
        <v>76</v>
      </c>
      <c r="W18" s="26"/>
      <c r="X18" s="29" t="s">
        <v>41</v>
      </c>
      <c r="Y18" s="25" t="str">
        <f>VLOOKUP(Таблица2[[#This Row],[Номер заказа]],[1]!Таблица1[#Data],MATCH("Поставщик",[1]!Таблица1[#Headers],0),FALSE)</f>
        <v>ДЕЛОВЫЕ ЛИНИИ ООО</v>
      </c>
      <c r="Z18" s="26" t="s">
        <v>71</v>
      </c>
      <c r="AA18" s="27">
        <f>VLOOKUP(Таблица2[[#This Row],[Номер заказа]],[1]!Таблица1[#Data],MATCH("Дата",[1]!Таблица1[#Headers],0),FALSE)+0</f>
        <v>45537</v>
      </c>
      <c r="AB18" s="28" t="str">
        <f>VLOOKUP(Таблица2[[#This Row],[Номер заказа]],[1]!Таблица1[#Data],MATCH("Валюта",[1]!Таблица1[#Headers],0),FALSE)</f>
        <v>руб.</v>
      </c>
      <c r="AC1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" spans="1:29" ht="14.25" customHeight="1" x14ac:dyDescent="0.2">
      <c r="A19" s="10" t="s">
        <v>79</v>
      </c>
      <c r="B19" s="11">
        <v>1</v>
      </c>
      <c r="C19" s="12"/>
      <c r="D19" s="13" t="s">
        <v>44</v>
      </c>
      <c r="E19" s="12"/>
      <c r="F19" s="14">
        <v>2</v>
      </c>
      <c r="G19" s="12"/>
      <c r="H19" s="15" t="s">
        <v>35</v>
      </c>
      <c r="I19" s="12"/>
      <c r="J19" s="16">
        <v>15451.2</v>
      </c>
      <c r="K19" s="16">
        <v>30902.400000000001</v>
      </c>
      <c r="L19" s="17">
        <v>0.2</v>
      </c>
      <c r="M19" s="16">
        <v>5150.3999999999996</v>
      </c>
      <c r="N19" s="16">
        <v>30902.400000000001</v>
      </c>
      <c r="O1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25752</v>
      </c>
      <c r="P19" s="12"/>
      <c r="Q19" s="12" t="s">
        <v>80</v>
      </c>
      <c r="R19" s="13" t="s">
        <v>81</v>
      </c>
      <c r="S19" s="18" t="s">
        <v>46</v>
      </c>
      <c r="T19" s="12" t="s">
        <v>40</v>
      </c>
      <c r="U19" s="12" t="s">
        <v>47</v>
      </c>
      <c r="V19" s="19"/>
      <c r="W19" s="12"/>
      <c r="X19" s="20" t="s">
        <v>41</v>
      </c>
      <c r="Y19" s="25" t="str">
        <f>VLOOKUP(Таблица2[[#This Row],[Номер заказа]],[1]!Таблица1[#Data],MATCH("Поставщик",[1]!Таблица1[#Headers],0),FALSE)</f>
        <v>ИЖОРСКАЯ НТК ООО</v>
      </c>
      <c r="Z19" s="26" t="s">
        <v>48</v>
      </c>
      <c r="AA19" s="27">
        <f>VLOOKUP(Таблица2[[#This Row],[Номер заказа]],[1]!Таблица1[#Data],MATCH("Дата",[1]!Таблица1[#Headers],0),FALSE)+0</f>
        <v>45545</v>
      </c>
      <c r="AB19" s="28" t="str">
        <f>VLOOKUP(Таблица2[[#This Row],[Номер заказа]],[1]!Таблица1[#Data],MATCH("Валюта",[1]!Таблица1[#Headers],0),FALSE)</f>
        <v>руб.</v>
      </c>
      <c r="AC1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" spans="1:29" ht="14.25" customHeight="1" x14ac:dyDescent="0.2">
      <c r="A20" s="10" t="s">
        <v>82</v>
      </c>
      <c r="B20" s="11">
        <v>1</v>
      </c>
      <c r="C20" s="12"/>
      <c r="D20" s="13" t="s">
        <v>83</v>
      </c>
      <c r="E20" s="12"/>
      <c r="F20" s="14">
        <v>4</v>
      </c>
      <c r="G20" s="12"/>
      <c r="H20" s="15" t="s">
        <v>35</v>
      </c>
      <c r="I20" s="12"/>
      <c r="J20" s="16">
        <v>40670.699999999997</v>
      </c>
      <c r="K20" s="16">
        <v>162682.79999999999</v>
      </c>
      <c r="L20" s="17">
        <v>0.2</v>
      </c>
      <c r="M20" s="16">
        <v>27113.8</v>
      </c>
      <c r="N20" s="16">
        <v>162682.79999999999</v>
      </c>
      <c r="O2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135569</v>
      </c>
      <c r="P20" s="12" t="s">
        <v>36</v>
      </c>
      <c r="Q20" s="12" t="s">
        <v>53</v>
      </c>
      <c r="R20" s="13" t="s">
        <v>84</v>
      </c>
      <c r="S20" s="18" t="s">
        <v>46</v>
      </c>
      <c r="T20" s="12" t="s">
        <v>40</v>
      </c>
      <c r="U20" s="12" t="s">
        <v>41</v>
      </c>
      <c r="V20" s="19" t="s">
        <v>85</v>
      </c>
      <c r="W20" s="26" t="s">
        <v>86</v>
      </c>
      <c r="X20" s="29" t="s">
        <v>47</v>
      </c>
      <c r="Y20" s="25" t="str">
        <f>VLOOKUP(Таблица2[[#This Row],[Номер заказа]],[1]!Таблица1[#Data],MATCH("Поставщик",[1]!Таблица1[#Headers],0),FALSE)</f>
        <v>РУМАТИКА ООО</v>
      </c>
      <c r="Z20" s="26" t="s">
        <v>56</v>
      </c>
      <c r="AA20" s="27">
        <f>VLOOKUP(Таблица2[[#This Row],[Номер заказа]],[1]!Таблица1[#Data],MATCH("Дата",[1]!Таблица1[#Headers],0),FALSE)+0</f>
        <v>45547</v>
      </c>
      <c r="AB20" s="28" t="str">
        <f>VLOOKUP(Таблица2[[#This Row],[Номер заказа]],[1]!Таблица1[#Data],MATCH("Валюта",[1]!Таблица1[#Headers],0),FALSE)</f>
        <v>руб.</v>
      </c>
      <c r="AC2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" spans="1:29" ht="14.25" customHeight="1" x14ac:dyDescent="0.2">
      <c r="A21" s="10" t="s">
        <v>82</v>
      </c>
      <c r="B21" s="11">
        <v>1</v>
      </c>
      <c r="C21" s="12"/>
      <c r="D21" s="13" t="s">
        <v>87</v>
      </c>
      <c r="E21" s="12"/>
      <c r="F21" s="14">
        <v>2</v>
      </c>
      <c r="G21" s="12"/>
      <c r="H21" s="15" t="s">
        <v>88</v>
      </c>
      <c r="I21" s="12"/>
      <c r="J21" s="16">
        <v>44103.6</v>
      </c>
      <c r="K21" s="16">
        <v>88207.2</v>
      </c>
      <c r="L21" s="17">
        <v>0.2</v>
      </c>
      <c r="M21" s="16">
        <v>14701.2</v>
      </c>
      <c r="N21" s="16">
        <v>88207.2</v>
      </c>
      <c r="O2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73506</v>
      </c>
      <c r="P21" s="12" t="s">
        <v>36</v>
      </c>
      <c r="Q21" s="12" t="s">
        <v>89</v>
      </c>
      <c r="R21" s="13" t="s">
        <v>90</v>
      </c>
      <c r="S21" s="18" t="s">
        <v>46</v>
      </c>
      <c r="T21" s="12" t="s">
        <v>40</v>
      </c>
      <c r="U21" s="12" t="s">
        <v>41</v>
      </c>
      <c r="V21" s="19"/>
      <c r="W21" s="12"/>
      <c r="X21" s="20" t="s">
        <v>41</v>
      </c>
      <c r="Y21" s="25" t="str">
        <f>VLOOKUP(Таблица2[[#This Row],[Номер заказа]],[1]!Таблица1[#Data],MATCH("Поставщик",[1]!Таблица1[#Headers],0),FALSE)</f>
        <v>РУМАТИКА ООО</v>
      </c>
      <c r="Z21" s="26" t="s">
        <v>56</v>
      </c>
      <c r="AA21" s="27">
        <f>VLOOKUP(Таблица2[[#This Row],[Номер заказа]],[1]!Таблица1[#Data],MATCH("Дата",[1]!Таблица1[#Headers],0),FALSE)+0</f>
        <v>45547</v>
      </c>
      <c r="AB21" s="28" t="str">
        <f>VLOOKUP(Таблица2[[#This Row],[Номер заказа]],[1]!Таблица1[#Data],MATCH("Валюта",[1]!Таблица1[#Headers],0),FALSE)</f>
        <v>руб.</v>
      </c>
      <c r="AC21" s="28">
        <f>_xlfn.XLOOKUP(Таблица2[[#This Row],[Номенклатура]],[1]!Таблица24[Наименование],[1]!Таблица24[Кол-во],"Нет на складе",0)</f>
        <v>2</v>
      </c>
    </row>
    <row r="22" spans="1:29" ht="14.25" customHeight="1" x14ac:dyDescent="0.2">
      <c r="A22" s="10" t="s">
        <v>91</v>
      </c>
      <c r="B22" s="11">
        <v>7</v>
      </c>
      <c r="C22" s="12"/>
      <c r="D22" s="13" t="s">
        <v>92</v>
      </c>
      <c r="E22" s="12"/>
      <c r="F22" s="14">
        <v>1</v>
      </c>
      <c r="G22" s="12"/>
      <c r="H22" s="15" t="s">
        <v>35</v>
      </c>
      <c r="I22" s="12"/>
      <c r="J22" s="16">
        <v>20</v>
      </c>
      <c r="K22" s="16">
        <v>20</v>
      </c>
      <c r="L22" s="17">
        <v>0.2</v>
      </c>
      <c r="M22" s="16">
        <v>4</v>
      </c>
      <c r="N22" s="16">
        <v>24</v>
      </c>
      <c r="O2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2000</v>
      </c>
      <c r="P22" s="12" t="s">
        <v>36</v>
      </c>
      <c r="Q22" s="12" t="s">
        <v>89</v>
      </c>
      <c r="R22" s="13" t="s">
        <v>93</v>
      </c>
      <c r="S22" s="18" t="s">
        <v>46</v>
      </c>
      <c r="T22" s="12" t="s">
        <v>71</v>
      </c>
      <c r="U22" s="12" t="s">
        <v>47</v>
      </c>
      <c r="V22" s="19"/>
      <c r="W22" s="12"/>
      <c r="X22" s="20" t="s">
        <v>41</v>
      </c>
      <c r="Y22" s="25" t="str">
        <f>VLOOKUP(Таблица2[[#This Row],[Номер заказа]],[1]!Таблица1[#Data],MATCH("Поставщик",[1]!Таблица1[#Headers],0),FALSE)</f>
        <v>КБ РАСКАТ ООО</v>
      </c>
      <c r="Z22" s="26" t="s">
        <v>71</v>
      </c>
      <c r="AA22" s="27">
        <f>VLOOKUP(Таблица2[[#This Row],[Номер заказа]],[1]!Таблица1[#Data],MATCH("Дата",[1]!Таблица1[#Headers],0),FALSE)+0</f>
        <v>45554</v>
      </c>
      <c r="AB22" s="28" t="str">
        <f>VLOOKUP(Таблица2[[#This Row],[Номер заказа]],[1]!Таблица1[#Data],MATCH("Валюта",[1]!Таблица1[#Headers],0),FALSE)</f>
        <v>EUR</v>
      </c>
      <c r="AC2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" spans="1:29" ht="14.25" customHeight="1" x14ac:dyDescent="0.2">
      <c r="A23" s="10" t="s">
        <v>94</v>
      </c>
      <c r="B23" s="11">
        <v>1</v>
      </c>
      <c r="C23" s="12"/>
      <c r="D23" s="13" t="s">
        <v>74</v>
      </c>
      <c r="E23" s="12"/>
      <c r="F23" s="14">
        <v>1</v>
      </c>
      <c r="G23" s="12"/>
      <c r="H23" s="15" t="s">
        <v>35</v>
      </c>
      <c r="I23" s="12"/>
      <c r="J23" s="16">
        <v>6834</v>
      </c>
      <c r="K23" s="16">
        <v>6834</v>
      </c>
      <c r="L23" s="17">
        <v>0.2</v>
      </c>
      <c r="M23" s="16">
        <v>1139</v>
      </c>
      <c r="N23" s="16">
        <v>6834</v>
      </c>
      <c r="O2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5695</v>
      </c>
      <c r="P23" s="12"/>
      <c r="Q23" s="12" t="s">
        <v>95</v>
      </c>
      <c r="R23" s="13" t="s">
        <v>75</v>
      </c>
      <c r="S23" s="18" t="s">
        <v>46</v>
      </c>
      <c r="T23" s="12" t="s">
        <v>71</v>
      </c>
      <c r="U23" s="12" t="s">
        <v>47</v>
      </c>
      <c r="V23" s="19" t="s">
        <v>96</v>
      </c>
      <c r="W23" s="26"/>
      <c r="X23" s="29" t="s">
        <v>41</v>
      </c>
      <c r="Y23" s="25" t="str">
        <f>VLOOKUP(Таблица2[[#This Row],[Номер заказа]],[1]!Таблица1[#Data],MATCH("Поставщик",[1]!Таблица1[#Headers],0),FALSE)</f>
        <v>ДЕЛОВЫЕ ЛИНИИ ООО</v>
      </c>
      <c r="Z23" s="26" t="s">
        <v>71</v>
      </c>
      <c r="AA23" s="27">
        <f>VLOOKUP(Таблица2[[#This Row],[Номер заказа]],[1]!Таблица1[#Data],MATCH("Дата",[1]!Таблица1[#Headers],0),FALSE)+0</f>
        <v>45561</v>
      </c>
      <c r="AB23" s="28" t="str">
        <f>VLOOKUP(Таблица2[[#This Row],[Номер заказа]],[1]!Таблица1[#Data],MATCH("Валюта",[1]!Таблица1[#Headers],0),FALSE)</f>
        <v>руб.</v>
      </c>
      <c r="AC2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" spans="1:29" ht="14.25" customHeight="1" x14ac:dyDescent="0.2">
      <c r="A24" s="10" t="s">
        <v>94</v>
      </c>
      <c r="B24" s="11">
        <v>2</v>
      </c>
      <c r="C24" s="12"/>
      <c r="D24" s="13" t="s">
        <v>97</v>
      </c>
      <c r="E24" s="12"/>
      <c r="F24" s="14">
        <v>1</v>
      </c>
      <c r="G24" s="12"/>
      <c r="H24" s="15" t="s">
        <v>35</v>
      </c>
      <c r="I24" s="12"/>
      <c r="J24" s="16">
        <v>15</v>
      </c>
      <c r="K24" s="16">
        <v>15</v>
      </c>
      <c r="L24" s="17">
        <v>0.2</v>
      </c>
      <c r="M24" s="16">
        <v>2.5</v>
      </c>
      <c r="N24" s="16">
        <v>15</v>
      </c>
      <c r="O2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24" s="12" t="s">
        <v>36</v>
      </c>
      <c r="Q24" s="12" t="s">
        <v>95</v>
      </c>
      <c r="R24" s="13" t="s">
        <v>75</v>
      </c>
      <c r="S24" s="18" t="s">
        <v>46</v>
      </c>
      <c r="T24" s="12" t="s">
        <v>71</v>
      </c>
      <c r="U24" s="12" t="s">
        <v>47</v>
      </c>
      <c r="V24" s="19" t="s">
        <v>96</v>
      </c>
      <c r="W24" s="26"/>
      <c r="X24" s="29" t="s">
        <v>41</v>
      </c>
      <c r="Y24" s="25" t="str">
        <f>VLOOKUP(Таблица2[[#This Row],[Номер заказа]],[1]!Таблица1[#Data],MATCH("Поставщик",[1]!Таблица1[#Headers],0),FALSE)</f>
        <v>ДЕЛОВЫЕ ЛИНИИ ООО</v>
      </c>
      <c r="Z24" s="26" t="s">
        <v>71</v>
      </c>
      <c r="AA24" s="27">
        <f>VLOOKUP(Таблица2[[#This Row],[Номер заказа]],[1]!Таблица1[#Data],MATCH("Дата",[1]!Таблица1[#Headers],0),FALSE)+0</f>
        <v>45561</v>
      </c>
      <c r="AB24" s="28" t="str">
        <f>VLOOKUP(Таблица2[[#This Row],[Номер заказа]],[1]!Таблица1[#Data],MATCH("Валюта",[1]!Таблица1[#Headers],0),FALSE)</f>
        <v>руб.</v>
      </c>
      <c r="AC2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" spans="1:29" ht="14.25" customHeight="1" x14ac:dyDescent="0.2">
      <c r="A25" s="10" t="s">
        <v>94</v>
      </c>
      <c r="B25" s="11">
        <v>3</v>
      </c>
      <c r="C25" s="12"/>
      <c r="D25" s="13" t="s">
        <v>78</v>
      </c>
      <c r="E25" s="12"/>
      <c r="F25" s="14">
        <v>1</v>
      </c>
      <c r="G25" s="12"/>
      <c r="H25" s="15" t="s">
        <v>35</v>
      </c>
      <c r="I25" s="12"/>
      <c r="J25" s="16">
        <v>1207</v>
      </c>
      <c r="K25" s="16">
        <v>1207</v>
      </c>
      <c r="L25" s="17">
        <v>0</v>
      </c>
      <c r="M25" s="16"/>
      <c r="N25" s="16">
        <v>1207</v>
      </c>
      <c r="O2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1207</v>
      </c>
      <c r="P25" s="12" t="s">
        <v>36</v>
      </c>
      <c r="Q25" s="12" t="s">
        <v>95</v>
      </c>
      <c r="R25" s="13" t="s">
        <v>75</v>
      </c>
      <c r="S25" s="18" t="s">
        <v>46</v>
      </c>
      <c r="T25" s="12" t="s">
        <v>71</v>
      </c>
      <c r="U25" s="12" t="s">
        <v>47</v>
      </c>
      <c r="V25" s="19" t="s">
        <v>96</v>
      </c>
      <c r="W25" s="26"/>
      <c r="X25" s="29" t="s">
        <v>41</v>
      </c>
      <c r="Y25" s="25" t="str">
        <f>VLOOKUP(Таблица2[[#This Row],[Номер заказа]],[1]!Таблица1[#Data],MATCH("Поставщик",[1]!Таблица1[#Headers],0),FALSE)</f>
        <v>ДЕЛОВЫЕ ЛИНИИ ООО</v>
      </c>
      <c r="Z25" s="26" t="s">
        <v>71</v>
      </c>
      <c r="AA25" s="27">
        <f>VLOOKUP(Таблица2[[#This Row],[Номер заказа]],[1]!Таблица1[#Data],MATCH("Дата",[1]!Таблица1[#Headers],0),FALSE)+0</f>
        <v>45561</v>
      </c>
      <c r="AB25" s="28" t="str">
        <f>VLOOKUP(Таблица2[[#This Row],[Номер заказа]],[1]!Таблица1[#Data],MATCH("Валюта",[1]!Таблица1[#Headers],0),FALSE)</f>
        <v>руб.</v>
      </c>
      <c r="AC2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" spans="1:29" ht="14.25" customHeight="1" x14ac:dyDescent="0.2">
      <c r="A26" s="10" t="s">
        <v>98</v>
      </c>
      <c r="B26" s="11">
        <v>1</v>
      </c>
      <c r="C26" s="12"/>
      <c r="D26" s="13" t="s">
        <v>74</v>
      </c>
      <c r="E26" s="12"/>
      <c r="F26" s="14">
        <v>1</v>
      </c>
      <c r="G26" s="12"/>
      <c r="H26" s="15" t="s">
        <v>35</v>
      </c>
      <c r="I26" s="12"/>
      <c r="J26" s="16">
        <v>50</v>
      </c>
      <c r="K26" s="16">
        <v>50</v>
      </c>
      <c r="L26" s="17">
        <v>0.2</v>
      </c>
      <c r="M26" s="16">
        <v>8.33</v>
      </c>
      <c r="N26" s="16">
        <v>50</v>
      </c>
      <c r="O2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41.67</v>
      </c>
      <c r="P26" s="12"/>
      <c r="Q26" s="12" t="s">
        <v>95</v>
      </c>
      <c r="R26" s="13" t="s">
        <v>75</v>
      </c>
      <c r="S26" s="18" t="s">
        <v>46</v>
      </c>
      <c r="T26" s="12" t="s">
        <v>71</v>
      </c>
      <c r="U26" s="12" t="s">
        <v>47</v>
      </c>
      <c r="V26" s="19" t="s">
        <v>96</v>
      </c>
      <c r="W26" s="26"/>
      <c r="X26" s="29" t="s">
        <v>41</v>
      </c>
      <c r="Y26" s="25" t="str">
        <f>VLOOKUP(Таблица2[[#This Row],[Номер заказа]],[1]!Таблица1[#Data],MATCH("Поставщик",[1]!Таблица1[#Headers],0),FALSE)</f>
        <v>ДЕЛОВЫЕ ЛИНИИ ООО</v>
      </c>
      <c r="Z26" s="26" t="s">
        <v>71</v>
      </c>
      <c r="AA26" s="27">
        <f>VLOOKUP(Таблица2[[#This Row],[Номер заказа]],[1]!Таблица1[#Data],MATCH("Дата",[1]!Таблица1[#Headers],0),FALSE)+0</f>
        <v>45561</v>
      </c>
      <c r="AB26" s="28" t="str">
        <f>VLOOKUP(Таблица2[[#This Row],[Номер заказа]],[1]!Таблица1[#Data],MATCH("Валюта",[1]!Таблица1[#Headers],0),FALSE)</f>
        <v>руб.</v>
      </c>
      <c r="AC2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7" spans="1:29" ht="14.25" customHeight="1" x14ac:dyDescent="0.2">
      <c r="A27" s="10" t="s">
        <v>98</v>
      </c>
      <c r="B27" s="11">
        <v>2</v>
      </c>
      <c r="C27" s="12"/>
      <c r="D27" s="13" t="s">
        <v>78</v>
      </c>
      <c r="E27" s="12"/>
      <c r="F27" s="14">
        <v>1</v>
      </c>
      <c r="G27" s="12"/>
      <c r="H27" s="15" t="s">
        <v>35</v>
      </c>
      <c r="I27" s="12"/>
      <c r="J27" s="16">
        <v>30</v>
      </c>
      <c r="K27" s="16">
        <v>30</v>
      </c>
      <c r="L27" s="17">
        <v>0</v>
      </c>
      <c r="M27" s="16"/>
      <c r="N27" s="16">
        <v>30</v>
      </c>
      <c r="O2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</v>
      </c>
      <c r="P27" s="12" t="s">
        <v>36</v>
      </c>
      <c r="Q27" s="12" t="s">
        <v>95</v>
      </c>
      <c r="R27" s="13" t="s">
        <v>75</v>
      </c>
      <c r="S27" s="18" t="s">
        <v>46</v>
      </c>
      <c r="T27" s="12" t="s">
        <v>71</v>
      </c>
      <c r="U27" s="12" t="s">
        <v>47</v>
      </c>
      <c r="V27" s="19" t="s">
        <v>96</v>
      </c>
      <c r="W27" s="26"/>
      <c r="X27" s="29" t="s">
        <v>41</v>
      </c>
      <c r="Y27" s="25" t="str">
        <f>VLOOKUP(Таблица2[[#This Row],[Номер заказа]],[1]!Таблица1[#Data],MATCH("Поставщик",[1]!Таблица1[#Headers],0),FALSE)</f>
        <v>ДЕЛОВЫЕ ЛИНИИ ООО</v>
      </c>
      <c r="Z27" s="26" t="s">
        <v>71</v>
      </c>
      <c r="AA27" s="27">
        <f>VLOOKUP(Таблица2[[#This Row],[Номер заказа]],[1]!Таблица1[#Data],MATCH("Дата",[1]!Таблица1[#Headers],0),FALSE)+0</f>
        <v>45561</v>
      </c>
      <c r="AB27" s="28" t="str">
        <f>VLOOKUP(Таблица2[[#This Row],[Номер заказа]],[1]!Таблица1[#Data],MATCH("Валюта",[1]!Таблица1[#Headers],0),FALSE)</f>
        <v>руб.</v>
      </c>
      <c r="AC2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8" spans="1:29" ht="14.25" customHeight="1" x14ac:dyDescent="0.2">
      <c r="A28" s="10" t="s">
        <v>99</v>
      </c>
      <c r="B28" s="11">
        <v>1</v>
      </c>
      <c r="C28" s="12"/>
      <c r="D28" s="13" t="s">
        <v>100</v>
      </c>
      <c r="E28" s="12"/>
      <c r="F28" s="14">
        <v>2</v>
      </c>
      <c r="G28" s="12"/>
      <c r="H28" s="15" t="s">
        <v>35</v>
      </c>
      <c r="I28" s="12"/>
      <c r="J28" s="16">
        <v>1117.72</v>
      </c>
      <c r="K28" s="16">
        <v>2235.44</v>
      </c>
      <c r="L28" s="17">
        <v>0.2</v>
      </c>
      <c r="M28" s="16">
        <v>372.57</v>
      </c>
      <c r="N28" s="16">
        <v>2235.44</v>
      </c>
      <c r="O2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1862.8700000000001</v>
      </c>
      <c r="P28" s="12" t="s">
        <v>36</v>
      </c>
      <c r="Q28" s="12" t="s">
        <v>53</v>
      </c>
      <c r="R28" s="13" t="s">
        <v>54</v>
      </c>
      <c r="S28" s="18" t="s">
        <v>46</v>
      </c>
      <c r="T28" s="12" t="s">
        <v>40</v>
      </c>
      <c r="U28" s="12" t="s">
        <v>41</v>
      </c>
      <c r="V28" s="19"/>
      <c r="W28" s="12"/>
      <c r="X28" s="20" t="s">
        <v>41</v>
      </c>
      <c r="Y28" s="25" t="str">
        <f>VLOOKUP(Таблица2[[#This Row],[Номер заказа]],[1]!Таблица1[#Data],MATCH("Поставщик",[1]!Таблица1[#Headers],0),FALSE)</f>
        <v>АВР-ЭЛЕКТРО ООО</v>
      </c>
      <c r="Z28" s="26" t="s">
        <v>56</v>
      </c>
      <c r="AA28" s="27">
        <f>VLOOKUP(Таблица2[[#This Row],[Номер заказа]],[1]!Таблица1[#Data],MATCH("Дата",[1]!Таблица1[#Headers],0),FALSE)+0</f>
        <v>45566</v>
      </c>
      <c r="AB28" s="28" t="str">
        <f>VLOOKUP(Таблица2[[#This Row],[Номер заказа]],[1]!Таблица1[#Data],MATCH("Валюта",[1]!Таблица1[#Headers],0),FALSE)</f>
        <v>руб.</v>
      </c>
      <c r="AC2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9" spans="1:29" ht="14.25" customHeight="1" x14ac:dyDescent="0.2">
      <c r="A29" s="10" t="s">
        <v>99</v>
      </c>
      <c r="B29" s="11">
        <v>2</v>
      </c>
      <c r="C29" s="12"/>
      <c r="D29" s="13" t="s">
        <v>101</v>
      </c>
      <c r="E29" s="12"/>
      <c r="F29" s="14">
        <v>2</v>
      </c>
      <c r="G29" s="12"/>
      <c r="H29" s="15" t="s">
        <v>35</v>
      </c>
      <c r="I29" s="12"/>
      <c r="J29" s="16">
        <v>1074.22</v>
      </c>
      <c r="K29" s="16">
        <v>2148.44</v>
      </c>
      <c r="L29" s="17">
        <v>0.2</v>
      </c>
      <c r="M29" s="16">
        <v>358.07</v>
      </c>
      <c r="N29" s="16">
        <v>2148.44</v>
      </c>
      <c r="O2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1790.3700000000001</v>
      </c>
      <c r="P29" s="12" t="s">
        <v>36</v>
      </c>
      <c r="Q29" s="12" t="s">
        <v>53</v>
      </c>
      <c r="R29" s="13" t="s">
        <v>54</v>
      </c>
      <c r="S29" s="18" t="s">
        <v>46</v>
      </c>
      <c r="T29" s="12" t="s">
        <v>40</v>
      </c>
      <c r="U29" s="12" t="s">
        <v>41</v>
      </c>
      <c r="V29" s="19"/>
      <c r="W29" s="12"/>
      <c r="X29" s="20" t="s">
        <v>41</v>
      </c>
      <c r="Y29" s="25" t="str">
        <f>VLOOKUP(Таблица2[[#This Row],[Номер заказа]],[1]!Таблица1[#Data],MATCH("Поставщик",[1]!Таблица1[#Headers],0),FALSE)</f>
        <v>АВР-ЭЛЕКТРО ООО</v>
      </c>
      <c r="Z29" s="26" t="s">
        <v>56</v>
      </c>
      <c r="AA29" s="27">
        <f>VLOOKUP(Таблица2[[#This Row],[Номер заказа]],[1]!Таблица1[#Data],MATCH("Дата",[1]!Таблица1[#Headers],0),FALSE)+0</f>
        <v>45566</v>
      </c>
      <c r="AB29" s="28" t="str">
        <f>VLOOKUP(Таблица2[[#This Row],[Номер заказа]],[1]!Таблица1[#Data],MATCH("Валюта",[1]!Таблица1[#Headers],0),FALSE)</f>
        <v>руб.</v>
      </c>
      <c r="AC2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0" spans="1:29" ht="14.25" customHeight="1" x14ac:dyDescent="0.2">
      <c r="A30" s="10" t="s">
        <v>99</v>
      </c>
      <c r="B30" s="11">
        <v>3</v>
      </c>
      <c r="C30" s="12"/>
      <c r="D30" s="13" t="s">
        <v>102</v>
      </c>
      <c r="E30" s="12"/>
      <c r="F30" s="14">
        <v>6</v>
      </c>
      <c r="G30" s="12"/>
      <c r="H30" s="15" t="s">
        <v>35</v>
      </c>
      <c r="I30" s="12"/>
      <c r="J30" s="16">
        <v>514.09</v>
      </c>
      <c r="K30" s="16">
        <v>3084.54</v>
      </c>
      <c r="L30" s="17">
        <v>0.2</v>
      </c>
      <c r="M30" s="16">
        <v>514.09</v>
      </c>
      <c r="N30" s="16">
        <v>3084.54</v>
      </c>
      <c r="O3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2570.4499999999998</v>
      </c>
      <c r="P30" s="12" t="s">
        <v>36</v>
      </c>
      <c r="Q30" s="12" t="s">
        <v>53</v>
      </c>
      <c r="R30" s="13" t="s">
        <v>54</v>
      </c>
      <c r="S30" s="18" t="s">
        <v>46</v>
      </c>
      <c r="T30" s="12" t="s">
        <v>40</v>
      </c>
      <c r="U30" s="12" t="s">
        <v>41</v>
      </c>
      <c r="V30" s="19"/>
      <c r="W30" s="12"/>
      <c r="X30" s="20" t="s">
        <v>41</v>
      </c>
      <c r="Y30" s="25" t="str">
        <f>VLOOKUP(Таблица2[[#This Row],[Номер заказа]],[1]!Таблица1[#Data],MATCH("Поставщик",[1]!Таблица1[#Headers],0),FALSE)</f>
        <v>АВР-ЭЛЕКТРО ООО</v>
      </c>
      <c r="Z30" s="26" t="s">
        <v>56</v>
      </c>
      <c r="AA30" s="27">
        <f>VLOOKUP(Таблица2[[#This Row],[Номер заказа]],[1]!Таблица1[#Data],MATCH("Дата",[1]!Таблица1[#Headers],0),FALSE)+0</f>
        <v>45566</v>
      </c>
      <c r="AB30" s="28" t="str">
        <f>VLOOKUP(Таблица2[[#This Row],[Номер заказа]],[1]!Таблица1[#Data],MATCH("Валюта",[1]!Таблица1[#Headers],0),FALSE)</f>
        <v>руб.</v>
      </c>
      <c r="AC3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1" spans="1:29" ht="14.25" customHeight="1" x14ac:dyDescent="0.2">
      <c r="A31" s="10" t="s">
        <v>99</v>
      </c>
      <c r="B31" s="11">
        <v>4</v>
      </c>
      <c r="C31" s="12"/>
      <c r="D31" s="13" t="s">
        <v>103</v>
      </c>
      <c r="E31" s="12"/>
      <c r="F31" s="14">
        <v>4</v>
      </c>
      <c r="G31" s="12"/>
      <c r="H31" s="15" t="s">
        <v>35</v>
      </c>
      <c r="I31" s="12"/>
      <c r="J31" s="16">
        <v>718.45</v>
      </c>
      <c r="K31" s="16">
        <v>2873.8</v>
      </c>
      <c r="L31" s="17">
        <v>0.2</v>
      </c>
      <c r="M31" s="16">
        <v>478.97</v>
      </c>
      <c r="N31" s="16">
        <v>2873.8</v>
      </c>
      <c r="O3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2394.83</v>
      </c>
      <c r="P31" s="12" t="s">
        <v>36</v>
      </c>
      <c r="Q31" s="12" t="s">
        <v>53</v>
      </c>
      <c r="R31" s="13" t="s">
        <v>54</v>
      </c>
      <c r="S31" s="18" t="s">
        <v>46</v>
      </c>
      <c r="T31" s="12" t="s">
        <v>40</v>
      </c>
      <c r="U31" s="12" t="s">
        <v>41</v>
      </c>
      <c r="V31" s="19"/>
      <c r="W31" s="12"/>
      <c r="X31" s="20" t="s">
        <v>41</v>
      </c>
      <c r="Y31" s="25" t="str">
        <f>VLOOKUP(Таблица2[[#This Row],[Номер заказа]],[1]!Таблица1[#Data],MATCH("Поставщик",[1]!Таблица1[#Headers],0),FALSE)</f>
        <v>АВР-ЭЛЕКТРО ООО</v>
      </c>
      <c r="Z31" s="26" t="s">
        <v>56</v>
      </c>
      <c r="AA31" s="27">
        <f>VLOOKUP(Таблица2[[#This Row],[Номер заказа]],[1]!Таблица1[#Data],MATCH("Дата",[1]!Таблица1[#Headers],0),FALSE)+0</f>
        <v>45566</v>
      </c>
      <c r="AB31" s="28" t="str">
        <f>VLOOKUP(Таблица2[[#This Row],[Номер заказа]],[1]!Таблица1[#Data],MATCH("Валюта",[1]!Таблица1[#Headers],0),FALSE)</f>
        <v>руб.</v>
      </c>
      <c r="AC3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2" spans="1:29" ht="14.25" customHeight="1" x14ac:dyDescent="0.2">
      <c r="A32" s="10" t="s">
        <v>99</v>
      </c>
      <c r="B32" s="11">
        <v>5</v>
      </c>
      <c r="C32" s="12"/>
      <c r="D32" s="13" t="s">
        <v>104</v>
      </c>
      <c r="E32" s="12"/>
      <c r="F32" s="14">
        <v>4</v>
      </c>
      <c r="G32" s="12"/>
      <c r="H32" s="15" t="s">
        <v>35</v>
      </c>
      <c r="I32" s="12"/>
      <c r="J32" s="16">
        <v>698.77</v>
      </c>
      <c r="K32" s="16">
        <v>2795.08</v>
      </c>
      <c r="L32" s="17">
        <v>0.2</v>
      </c>
      <c r="M32" s="16">
        <v>465.85</v>
      </c>
      <c r="N32" s="16">
        <v>2795.08</v>
      </c>
      <c r="O3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2329.23</v>
      </c>
      <c r="P32" s="12" t="s">
        <v>36</v>
      </c>
      <c r="Q32" s="12" t="s">
        <v>53</v>
      </c>
      <c r="R32" s="13" t="s">
        <v>54</v>
      </c>
      <c r="S32" s="18" t="s">
        <v>46</v>
      </c>
      <c r="T32" s="12" t="s">
        <v>40</v>
      </c>
      <c r="U32" s="12" t="s">
        <v>41</v>
      </c>
      <c r="V32" s="19"/>
      <c r="W32" s="12"/>
      <c r="X32" s="20" t="s">
        <v>41</v>
      </c>
      <c r="Y32" s="25" t="str">
        <f>VLOOKUP(Таблица2[[#This Row],[Номер заказа]],[1]!Таблица1[#Data],MATCH("Поставщик",[1]!Таблица1[#Headers],0),FALSE)</f>
        <v>АВР-ЭЛЕКТРО ООО</v>
      </c>
      <c r="Z32" s="26" t="s">
        <v>56</v>
      </c>
      <c r="AA32" s="27">
        <f>VLOOKUP(Таблица2[[#This Row],[Номер заказа]],[1]!Таблица1[#Data],MATCH("Дата",[1]!Таблица1[#Headers],0),FALSE)+0</f>
        <v>45566</v>
      </c>
      <c r="AB32" s="28" t="str">
        <f>VLOOKUP(Таблица2[[#This Row],[Номер заказа]],[1]!Таблица1[#Data],MATCH("Валюта",[1]!Таблица1[#Headers],0),FALSE)</f>
        <v>руб.</v>
      </c>
      <c r="AC3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3" spans="1:29" ht="14.25" customHeight="1" x14ac:dyDescent="0.2">
      <c r="A33" s="10" t="s">
        <v>99</v>
      </c>
      <c r="B33" s="11">
        <v>6</v>
      </c>
      <c r="C33" s="12"/>
      <c r="D33" s="13" t="s">
        <v>105</v>
      </c>
      <c r="E33" s="12"/>
      <c r="F33" s="14">
        <v>2</v>
      </c>
      <c r="G33" s="12"/>
      <c r="H33" s="15" t="s">
        <v>35</v>
      </c>
      <c r="I33" s="12"/>
      <c r="J33" s="16">
        <v>235.66</v>
      </c>
      <c r="K33" s="16">
        <v>471.32</v>
      </c>
      <c r="L33" s="17">
        <v>0.2</v>
      </c>
      <c r="M33" s="16">
        <v>78.55</v>
      </c>
      <c r="N33" s="16">
        <v>471.32</v>
      </c>
      <c r="O3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392.77</v>
      </c>
      <c r="P33" s="12" t="s">
        <v>36</v>
      </c>
      <c r="Q33" s="12" t="s">
        <v>53</v>
      </c>
      <c r="R33" s="13" t="s">
        <v>54</v>
      </c>
      <c r="S33" s="18" t="s">
        <v>46</v>
      </c>
      <c r="T33" s="12" t="s">
        <v>40</v>
      </c>
      <c r="U33" s="12" t="s">
        <v>41</v>
      </c>
      <c r="V33" s="19"/>
      <c r="W33" s="12"/>
      <c r="X33" s="20" t="s">
        <v>41</v>
      </c>
      <c r="Y33" s="25" t="str">
        <f>VLOOKUP(Таблица2[[#This Row],[Номер заказа]],[1]!Таблица1[#Data],MATCH("Поставщик",[1]!Таблица1[#Headers],0),FALSE)</f>
        <v>АВР-ЭЛЕКТРО ООО</v>
      </c>
      <c r="Z33" s="26" t="s">
        <v>56</v>
      </c>
      <c r="AA33" s="27">
        <f>VLOOKUP(Таблица2[[#This Row],[Номер заказа]],[1]!Таблица1[#Data],MATCH("Дата",[1]!Таблица1[#Headers],0),FALSE)+0</f>
        <v>45566</v>
      </c>
      <c r="AB33" s="28" t="str">
        <f>VLOOKUP(Таблица2[[#This Row],[Номер заказа]],[1]!Таблица1[#Data],MATCH("Валюта",[1]!Таблица1[#Headers],0),FALSE)</f>
        <v>руб.</v>
      </c>
      <c r="AC3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4" spans="1:29" ht="14.25" customHeight="1" x14ac:dyDescent="0.2">
      <c r="A34" s="10" t="s">
        <v>99</v>
      </c>
      <c r="B34" s="11">
        <v>7</v>
      </c>
      <c r="C34" s="12"/>
      <c r="D34" s="13" t="s">
        <v>106</v>
      </c>
      <c r="E34" s="12"/>
      <c r="F34" s="14">
        <v>6</v>
      </c>
      <c r="G34" s="12"/>
      <c r="H34" s="15" t="s">
        <v>35</v>
      </c>
      <c r="I34" s="12"/>
      <c r="J34" s="16">
        <v>287.60000000000002</v>
      </c>
      <c r="K34" s="16">
        <v>1725.6</v>
      </c>
      <c r="L34" s="17">
        <v>0.2</v>
      </c>
      <c r="M34" s="16">
        <v>287.60000000000002</v>
      </c>
      <c r="N34" s="16">
        <v>1725.6</v>
      </c>
      <c r="O3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1438</v>
      </c>
      <c r="P34" s="12" t="s">
        <v>36</v>
      </c>
      <c r="Q34" s="12" t="s">
        <v>53</v>
      </c>
      <c r="R34" s="13" t="s">
        <v>54</v>
      </c>
      <c r="S34" s="18" t="s">
        <v>46</v>
      </c>
      <c r="T34" s="12" t="s">
        <v>40</v>
      </c>
      <c r="U34" s="12" t="s">
        <v>41</v>
      </c>
      <c r="V34" s="19"/>
      <c r="W34" s="12"/>
      <c r="X34" s="20" t="s">
        <v>41</v>
      </c>
      <c r="Y34" s="25" t="str">
        <f>VLOOKUP(Таблица2[[#This Row],[Номер заказа]],[1]!Таблица1[#Data],MATCH("Поставщик",[1]!Таблица1[#Headers],0),FALSE)</f>
        <v>АВР-ЭЛЕКТРО ООО</v>
      </c>
      <c r="Z34" s="26" t="s">
        <v>56</v>
      </c>
      <c r="AA34" s="27">
        <f>VLOOKUP(Таблица2[[#This Row],[Номер заказа]],[1]!Таблица1[#Data],MATCH("Дата",[1]!Таблица1[#Headers],0),FALSE)+0</f>
        <v>45566</v>
      </c>
      <c r="AB34" s="28" t="str">
        <f>VLOOKUP(Таблица2[[#This Row],[Номер заказа]],[1]!Таблица1[#Data],MATCH("Валюта",[1]!Таблица1[#Headers],0),FALSE)</f>
        <v>руб.</v>
      </c>
      <c r="AC3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5" spans="1:29" ht="14.25" customHeight="1" x14ac:dyDescent="0.2">
      <c r="A35" s="10" t="s">
        <v>107</v>
      </c>
      <c r="B35" s="11">
        <v>1</v>
      </c>
      <c r="C35" s="12"/>
      <c r="D35" s="13" t="s">
        <v>108</v>
      </c>
      <c r="E35" s="12"/>
      <c r="F35" s="14">
        <v>6</v>
      </c>
      <c r="G35" s="12"/>
      <c r="H35" s="15" t="s">
        <v>109</v>
      </c>
      <c r="I35" s="12"/>
      <c r="J35" s="16">
        <v>288.8</v>
      </c>
      <c r="K35" s="16">
        <v>1732.8</v>
      </c>
      <c r="L35" s="17">
        <v>0.2</v>
      </c>
      <c r="M35" s="16">
        <v>288.8</v>
      </c>
      <c r="N35" s="16">
        <v>1732.8</v>
      </c>
      <c r="O3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1444</v>
      </c>
      <c r="P35" s="12" t="s">
        <v>36</v>
      </c>
      <c r="Q35" s="12" t="s">
        <v>80</v>
      </c>
      <c r="R35" s="13" t="s">
        <v>110</v>
      </c>
      <c r="S35" s="18" t="s">
        <v>46</v>
      </c>
      <c r="T35" s="12" t="s">
        <v>40</v>
      </c>
      <c r="U35" s="12" t="s">
        <v>41</v>
      </c>
      <c r="V35" s="19" t="s">
        <v>111</v>
      </c>
      <c r="W35" s="26"/>
      <c r="X35" s="29" t="s">
        <v>41</v>
      </c>
      <c r="Y35" s="25" t="str">
        <f>VLOOKUP(Таблица2[[#This Row],[Номер заказа]],[1]!Таблица1[#Data],MATCH("Поставщик",[1]!Таблица1[#Headers],0),FALSE)</f>
        <v>ЕКА СПБ ООО</v>
      </c>
      <c r="Z35" s="26" t="s">
        <v>56</v>
      </c>
      <c r="AA35" s="27">
        <f>VLOOKUP(Таблица2[[#This Row],[Номер заказа]],[1]!Таблица1[#Data],MATCH("Дата",[1]!Таблица1[#Headers],0),FALSE)+0</f>
        <v>45566</v>
      </c>
      <c r="AB35" s="28" t="str">
        <f>VLOOKUP(Таблица2[[#This Row],[Номер заказа]],[1]!Таблица1[#Data],MATCH("Валюта",[1]!Таблица1[#Headers],0),FALSE)</f>
        <v>руб.</v>
      </c>
      <c r="AC3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6" spans="1:29" ht="14.25" customHeight="1" x14ac:dyDescent="0.2">
      <c r="A36" s="10" t="s">
        <v>107</v>
      </c>
      <c r="B36" s="11">
        <v>2</v>
      </c>
      <c r="C36" s="12"/>
      <c r="D36" s="13" t="s">
        <v>112</v>
      </c>
      <c r="E36" s="12"/>
      <c r="F36" s="14">
        <v>8</v>
      </c>
      <c r="G36" s="12"/>
      <c r="H36" s="15" t="s">
        <v>35</v>
      </c>
      <c r="I36" s="12"/>
      <c r="J36" s="16">
        <v>25.6</v>
      </c>
      <c r="K36" s="16">
        <v>204.8</v>
      </c>
      <c r="L36" s="17">
        <v>0.2</v>
      </c>
      <c r="M36" s="16">
        <v>34.130000000000003</v>
      </c>
      <c r="N36" s="16">
        <v>204.8</v>
      </c>
      <c r="O3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170.67000000000002</v>
      </c>
      <c r="P36" s="12" t="s">
        <v>36</v>
      </c>
      <c r="Q36" s="12" t="s">
        <v>80</v>
      </c>
      <c r="R36" s="13" t="s">
        <v>110</v>
      </c>
      <c r="S36" s="18" t="s">
        <v>46</v>
      </c>
      <c r="T36" s="12" t="s">
        <v>40</v>
      </c>
      <c r="U36" s="12" t="s">
        <v>41</v>
      </c>
      <c r="V36" s="19" t="s">
        <v>111</v>
      </c>
      <c r="W36" s="26"/>
      <c r="X36" s="29" t="s">
        <v>41</v>
      </c>
      <c r="Y36" s="25" t="str">
        <f>VLOOKUP(Таблица2[[#This Row],[Номер заказа]],[1]!Таблица1[#Data],MATCH("Поставщик",[1]!Таблица1[#Headers],0),FALSE)</f>
        <v>ЕКА СПБ ООО</v>
      </c>
      <c r="Z36" s="26" t="s">
        <v>56</v>
      </c>
      <c r="AA36" s="27">
        <f>VLOOKUP(Таблица2[[#This Row],[Номер заказа]],[1]!Таблица1[#Data],MATCH("Дата",[1]!Таблица1[#Headers],0),FALSE)+0</f>
        <v>45566</v>
      </c>
      <c r="AB36" s="28" t="str">
        <f>VLOOKUP(Таблица2[[#This Row],[Номер заказа]],[1]!Таблица1[#Data],MATCH("Валюта",[1]!Таблица1[#Headers],0),FALSE)</f>
        <v>руб.</v>
      </c>
      <c r="AC3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7" spans="1:29" ht="14.25" customHeight="1" x14ac:dyDescent="0.2">
      <c r="A37" s="10" t="s">
        <v>113</v>
      </c>
      <c r="B37" s="11">
        <v>1</v>
      </c>
      <c r="C37" s="12"/>
      <c r="D37" s="13" t="s">
        <v>114</v>
      </c>
      <c r="E37" s="12"/>
      <c r="F37" s="14">
        <v>30</v>
      </c>
      <c r="G37" s="12"/>
      <c r="H37" s="15" t="s">
        <v>35</v>
      </c>
      <c r="I37" s="12"/>
      <c r="J37" s="16">
        <v>7099.2</v>
      </c>
      <c r="K37" s="16">
        <v>212976</v>
      </c>
      <c r="L37" s="17">
        <v>0.2</v>
      </c>
      <c r="M37" s="16">
        <v>35496</v>
      </c>
      <c r="N37" s="16">
        <v>212976</v>
      </c>
      <c r="O3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177480</v>
      </c>
      <c r="P37" s="12" t="s">
        <v>36</v>
      </c>
      <c r="Q37" s="12" t="s">
        <v>53</v>
      </c>
      <c r="R37" s="13" t="s">
        <v>54</v>
      </c>
      <c r="S37" s="18" t="s">
        <v>46</v>
      </c>
      <c r="T37" s="12" t="s">
        <v>40</v>
      </c>
      <c r="U37" s="12" t="s">
        <v>41</v>
      </c>
      <c r="V37" s="19" t="s">
        <v>115</v>
      </c>
      <c r="W37" s="26"/>
      <c r="X37" s="29" t="s">
        <v>41</v>
      </c>
      <c r="Y37" s="25" t="str">
        <f>VLOOKUP(Таблица2[[#This Row],[Номер заказа]],[1]!Таблица1[#Data],MATCH("Поставщик",[1]!Таблица1[#Headers],0),FALSE)</f>
        <v>СЕНСОР ЗАО</v>
      </c>
      <c r="Z37" s="26" t="s">
        <v>56</v>
      </c>
      <c r="AA37" s="27">
        <f>VLOOKUP(Таблица2[[#This Row],[Номер заказа]],[1]!Таблица1[#Data],MATCH("Дата",[1]!Таблица1[#Headers],0),FALSE)+0</f>
        <v>45567</v>
      </c>
      <c r="AB37" s="28" t="str">
        <f>VLOOKUP(Таблица2[[#This Row],[Номер заказа]],[1]!Таблица1[#Data],MATCH("Валюта",[1]!Таблица1[#Headers],0),FALSE)</f>
        <v>руб.</v>
      </c>
      <c r="AC3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8" spans="1:29" ht="14.25" customHeight="1" x14ac:dyDescent="0.2">
      <c r="A38" s="10" t="s">
        <v>116</v>
      </c>
      <c r="B38" s="11">
        <v>1</v>
      </c>
      <c r="C38" s="12"/>
      <c r="D38" s="13" t="s">
        <v>74</v>
      </c>
      <c r="E38" s="12"/>
      <c r="F38" s="14">
        <v>1</v>
      </c>
      <c r="G38" s="12"/>
      <c r="H38" s="15" t="s">
        <v>35</v>
      </c>
      <c r="I38" s="12"/>
      <c r="J38" s="16">
        <v>839</v>
      </c>
      <c r="K38" s="16">
        <v>839</v>
      </c>
      <c r="L38" s="17">
        <v>0.2</v>
      </c>
      <c r="M38" s="16">
        <v>139.83000000000001</v>
      </c>
      <c r="N38" s="16">
        <v>839</v>
      </c>
      <c r="O3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699.17</v>
      </c>
      <c r="P38" s="12"/>
      <c r="Q38" s="12" t="s">
        <v>89</v>
      </c>
      <c r="R38" s="13" t="s">
        <v>75</v>
      </c>
      <c r="S38" s="18" t="s">
        <v>46</v>
      </c>
      <c r="T38" s="12" t="s">
        <v>71</v>
      </c>
      <c r="U38" s="12" t="s">
        <v>47</v>
      </c>
      <c r="V38" s="19" t="s">
        <v>117</v>
      </c>
      <c r="W38" s="26"/>
      <c r="X38" s="29" t="s">
        <v>41</v>
      </c>
      <c r="Y38" s="25" t="str">
        <f>VLOOKUP(Таблица2[[#This Row],[Номер заказа]],[1]!Таблица1[#Data],MATCH("Поставщик",[1]!Таблица1[#Headers],0),FALSE)</f>
        <v>ДЕЛОВЫЕ ЛИНИИ ООО</v>
      </c>
      <c r="Z38" s="26" t="s">
        <v>71</v>
      </c>
      <c r="AA38" s="27">
        <f>VLOOKUP(Таблица2[[#This Row],[Номер заказа]],[1]!Таблица1[#Data],MATCH("Дата",[1]!Таблица1[#Headers],0),FALSE)+0</f>
        <v>45573</v>
      </c>
      <c r="AB38" s="28" t="str">
        <f>VLOOKUP(Таблица2[[#This Row],[Номер заказа]],[1]!Таблица1[#Data],MATCH("Валюта",[1]!Таблица1[#Headers],0),FALSE)</f>
        <v>руб.</v>
      </c>
      <c r="AC3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39" spans="1:29" ht="14.25" customHeight="1" x14ac:dyDescent="0.2">
      <c r="A39" s="10" t="s">
        <v>116</v>
      </c>
      <c r="B39" s="11">
        <v>2</v>
      </c>
      <c r="C39" s="12"/>
      <c r="D39" s="13" t="s">
        <v>78</v>
      </c>
      <c r="E39" s="12"/>
      <c r="F39" s="14">
        <v>1</v>
      </c>
      <c r="G39" s="12"/>
      <c r="H39" s="15" t="s">
        <v>35</v>
      </c>
      <c r="I39" s="12"/>
      <c r="J39" s="16">
        <v>90</v>
      </c>
      <c r="K39" s="16">
        <v>90</v>
      </c>
      <c r="L39" s="17">
        <v>0</v>
      </c>
      <c r="M39" s="16"/>
      <c r="N39" s="16">
        <v>90</v>
      </c>
      <c r="O3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90</v>
      </c>
      <c r="P39" s="12" t="s">
        <v>36</v>
      </c>
      <c r="Q39" s="12" t="s">
        <v>89</v>
      </c>
      <c r="R39" s="13" t="s">
        <v>75</v>
      </c>
      <c r="S39" s="18" t="s">
        <v>46</v>
      </c>
      <c r="T39" s="12" t="s">
        <v>71</v>
      </c>
      <c r="U39" s="12" t="s">
        <v>47</v>
      </c>
      <c r="V39" s="19" t="s">
        <v>117</v>
      </c>
      <c r="W39" s="26"/>
      <c r="X39" s="29" t="s">
        <v>41</v>
      </c>
      <c r="Y39" s="25" t="str">
        <f>VLOOKUP(Таблица2[[#This Row],[Номер заказа]],[1]!Таблица1[#Data],MATCH("Поставщик",[1]!Таблица1[#Headers],0),FALSE)</f>
        <v>ДЕЛОВЫЕ ЛИНИИ ООО</v>
      </c>
      <c r="Z39" s="26" t="s">
        <v>71</v>
      </c>
      <c r="AA39" s="27">
        <f>VLOOKUP(Таблица2[[#This Row],[Номер заказа]],[1]!Таблица1[#Data],MATCH("Дата",[1]!Таблица1[#Headers],0),FALSE)+0</f>
        <v>45573</v>
      </c>
      <c r="AB39" s="28" t="str">
        <f>VLOOKUP(Таблица2[[#This Row],[Номер заказа]],[1]!Таблица1[#Data],MATCH("Валюта",[1]!Таблица1[#Headers],0),FALSE)</f>
        <v>руб.</v>
      </c>
      <c r="AC3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0" spans="1:29" ht="14.25" customHeight="1" x14ac:dyDescent="0.2">
      <c r="A40" s="10" t="s">
        <v>118</v>
      </c>
      <c r="B40" s="11">
        <v>1</v>
      </c>
      <c r="C40" s="12"/>
      <c r="D40" s="13" t="s">
        <v>74</v>
      </c>
      <c r="E40" s="12"/>
      <c r="F40" s="14">
        <v>1</v>
      </c>
      <c r="G40" s="12"/>
      <c r="H40" s="15" t="s">
        <v>35</v>
      </c>
      <c r="I40" s="12"/>
      <c r="J40" s="16">
        <v>2432</v>
      </c>
      <c r="K40" s="16">
        <v>2432</v>
      </c>
      <c r="L40" s="17">
        <v>0.2</v>
      </c>
      <c r="M40" s="16">
        <v>405.33</v>
      </c>
      <c r="N40" s="16">
        <v>2432</v>
      </c>
      <c r="O4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2026.67</v>
      </c>
      <c r="P40" s="12"/>
      <c r="Q40" s="12" t="s">
        <v>119</v>
      </c>
      <c r="R40" s="13" t="s">
        <v>75</v>
      </c>
      <c r="S40" s="18" t="s">
        <v>46</v>
      </c>
      <c r="T40" s="12" t="s">
        <v>71</v>
      </c>
      <c r="U40" s="12" t="s">
        <v>47</v>
      </c>
      <c r="V40" s="19" t="s">
        <v>120</v>
      </c>
      <c r="W40" s="26"/>
      <c r="X40" s="29" t="s">
        <v>41</v>
      </c>
      <c r="Y40" s="25" t="str">
        <f>VLOOKUP(Таблица2[[#This Row],[Номер заказа]],[1]!Таблица1[#Data],MATCH("Поставщик",[1]!Таблица1[#Headers],0),FALSE)</f>
        <v>ДЕЛОВЫЕ ЛИНИИ ООО</v>
      </c>
      <c r="Z40" s="26" t="s">
        <v>71</v>
      </c>
      <c r="AA40" s="27">
        <f>VLOOKUP(Таблица2[[#This Row],[Номер заказа]],[1]!Таблица1[#Data],MATCH("Дата",[1]!Таблица1[#Headers],0),FALSE)+0</f>
        <v>45580</v>
      </c>
      <c r="AB40" s="28" t="str">
        <f>VLOOKUP(Таблица2[[#This Row],[Номер заказа]],[1]!Таблица1[#Data],MATCH("Валюта",[1]!Таблица1[#Headers],0),FALSE)</f>
        <v>руб.</v>
      </c>
      <c r="AC4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1" spans="1:29" ht="14.25" customHeight="1" x14ac:dyDescent="0.2">
      <c r="A41" s="10" t="s">
        <v>118</v>
      </c>
      <c r="B41" s="11">
        <v>2</v>
      </c>
      <c r="C41" s="12"/>
      <c r="D41" s="13" t="s">
        <v>121</v>
      </c>
      <c r="E41" s="12"/>
      <c r="F41" s="14">
        <v>1</v>
      </c>
      <c r="G41" s="12"/>
      <c r="H41" s="15" t="s">
        <v>35</v>
      </c>
      <c r="I41" s="12"/>
      <c r="J41" s="16">
        <v>1060</v>
      </c>
      <c r="K41" s="16">
        <v>1060</v>
      </c>
      <c r="L41" s="17">
        <v>0.2</v>
      </c>
      <c r="M41" s="16">
        <v>176.67</v>
      </c>
      <c r="N41" s="16">
        <v>1060</v>
      </c>
      <c r="O4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883.33</v>
      </c>
      <c r="P41" s="12"/>
      <c r="Q41" s="12" t="s">
        <v>119</v>
      </c>
      <c r="R41" s="13" t="s">
        <v>75</v>
      </c>
      <c r="S41" s="18" t="s">
        <v>46</v>
      </c>
      <c r="T41" s="12" t="s">
        <v>71</v>
      </c>
      <c r="U41" s="12" t="s">
        <v>47</v>
      </c>
      <c r="V41" s="19" t="s">
        <v>120</v>
      </c>
      <c r="W41" s="26"/>
      <c r="X41" s="29" t="s">
        <v>41</v>
      </c>
      <c r="Y41" s="25" t="str">
        <f>VLOOKUP(Таблица2[[#This Row],[Номер заказа]],[1]!Таблица1[#Data],MATCH("Поставщик",[1]!Таблица1[#Headers],0),FALSE)</f>
        <v>ДЕЛОВЫЕ ЛИНИИ ООО</v>
      </c>
      <c r="Z41" s="26" t="s">
        <v>71</v>
      </c>
      <c r="AA41" s="27">
        <f>VLOOKUP(Таблица2[[#This Row],[Номер заказа]],[1]!Таблица1[#Data],MATCH("Дата",[1]!Таблица1[#Headers],0),FALSE)+0</f>
        <v>45580</v>
      </c>
      <c r="AB41" s="28" t="str">
        <f>VLOOKUP(Таблица2[[#This Row],[Номер заказа]],[1]!Таблица1[#Data],MATCH("Валюта",[1]!Таблица1[#Headers],0),FALSE)</f>
        <v>руб.</v>
      </c>
      <c r="AC4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2" spans="1:29" ht="14.25" customHeight="1" x14ac:dyDescent="0.2">
      <c r="A42" s="10" t="s">
        <v>118</v>
      </c>
      <c r="B42" s="11">
        <v>3</v>
      </c>
      <c r="C42" s="12"/>
      <c r="D42" s="13" t="s">
        <v>97</v>
      </c>
      <c r="E42" s="12"/>
      <c r="F42" s="14">
        <v>1</v>
      </c>
      <c r="G42" s="12"/>
      <c r="H42" s="15" t="s">
        <v>35</v>
      </c>
      <c r="I42" s="12"/>
      <c r="J42" s="16">
        <v>15</v>
      </c>
      <c r="K42" s="16">
        <v>15</v>
      </c>
      <c r="L42" s="17">
        <v>0.2</v>
      </c>
      <c r="M42" s="16">
        <v>2.5</v>
      </c>
      <c r="N42" s="16">
        <v>15</v>
      </c>
      <c r="O4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42" s="12" t="s">
        <v>36</v>
      </c>
      <c r="Q42" s="12" t="s">
        <v>119</v>
      </c>
      <c r="R42" s="13" t="s">
        <v>75</v>
      </c>
      <c r="S42" s="18" t="s">
        <v>46</v>
      </c>
      <c r="T42" s="12" t="s">
        <v>71</v>
      </c>
      <c r="U42" s="12" t="s">
        <v>47</v>
      </c>
      <c r="V42" s="19" t="s">
        <v>120</v>
      </c>
      <c r="W42" s="26"/>
      <c r="X42" s="29" t="s">
        <v>41</v>
      </c>
      <c r="Y42" s="25" t="str">
        <f>VLOOKUP(Таблица2[[#This Row],[Номер заказа]],[1]!Таблица1[#Data],MATCH("Поставщик",[1]!Таблица1[#Headers],0),FALSE)</f>
        <v>ДЕЛОВЫЕ ЛИНИИ ООО</v>
      </c>
      <c r="Z42" s="26" t="s">
        <v>71</v>
      </c>
      <c r="AA42" s="27">
        <f>VLOOKUP(Таблица2[[#This Row],[Номер заказа]],[1]!Таблица1[#Data],MATCH("Дата",[1]!Таблица1[#Headers],0),FALSE)+0</f>
        <v>45580</v>
      </c>
      <c r="AB42" s="28" t="str">
        <f>VLOOKUP(Таблица2[[#This Row],[Номер заказа]],[1]!Таблица1[#Data],MATCH("Валюта",[1]!Таблица1[#Headers],0),FALSE)</f>
        <v>руб.</v>
      </c>
      <c r="AC4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3" spans="1:29" ht="14.25" customHeight="1" x14ac:dyDescent="0.2">
      <c r="A43" s="10" t="s">
        <v>118</v>
      </c>
      <c r="B43" s="11">
        <v>4</v>
      </c>
      <c r="C43" s="12"/>
      <c r="D43" s="13" t="s">
        <v>78</v>
      </c>
      <c r="E43" s="12"/>
      <c r="F43" s="14">
        <v>1</v>
      </c>
      <c r="G43" s="12"/>
      <c r="H43" s="15" t="s">
        <v>35</v>
      </c>
      <c r="I43" s="12"/>
      <c r="J43" s="16">
        <v>3010</v>
      </c>
      <c r="K43" s="16">
        <v>3010</v>
      </c>
      <c r="L43" s="17">
        <v>0</v>
      </c>
      <c r="M43" s="16"/>
      <c r="N43" s="16">
        <v>3010</v>
      </c>
      <c r="O4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3010</v>
      </c>
      <c r="P43" s="12" t="s">
        <v>36</v>
      </c>
      <c r="Q43" s="12" t="s">
        <v>119</v>
      </c>
      <c r="R43" s="13" t="s">
        <v>75</v>
      </c>
      <c r="S43" s="18" t="s">
        <v>46</v>
      </c>
      <c r="T43" s="12" t="s">
        <v>71</v>
      </c>
      <c r="U43" s="12" t="s">
        <v>47</v>
      </c>
      <c r="V43" s="19" t="s">
        <v>120</v>
      </c>
      <c r="W43" s="26"/>
      <c r="X43" s="29" t="s">
        <v>41</v>
      </c>
      <c r="Y43" s="25" t="str">
        <f>VLOOKUP(Таблица2[[#This Row],[Номер заказа]],[1]!Таблица1[#Data],MATCH("Поставщик",[1]!Таблица1[#Headers],0),FALSE)</f>
        <v>ДЕЛОВЫЕ ЛИНИИ ООО</v>
      </c>
      <c r="Z43" s="26" t="s">
        <v>71</v>
      </c>
      <c r="AA43" s="27">
        <f>VLOOKUP(Таблица2[[#This Row],[Номер заказа]],[1]!Таблица1[#Data],MATCH("Дата",[1]!Таблица1[#Headers],0),FALSE)+0</f>
        <v>45580</v>
      </c>
      <c r="AB43" s="28" t="str">
        <f>VLOOKUP(Таблица2[[#This Row],[Номер заказа]],[1]!Таблица1[#Data],MATCH("Валюта",[1]!Таблица1[#Headers],0),FALSE)</f>
        <v>руб.</v>
      </c>
      <c r="AC4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4" spans="1:29" ht="14.25" customHeight="1" x14ac:dyDescent="0.2">
      <c r="A44" s="10" t="s">
        <v>122</v>
      </c>
      <c r="B44" s="11">
        <v>2</v>
      </c>
      <c r="C44" s="12"/>
      <c r="D44" s="13" t="s">
        <v>123</v>
      </c>
      <c r="E44" s="12"/>
      <c r="F44" s="14">
        <v>1</v>
      </c>
      <c r="G44" s="12"/>
      <c r="H44" s="15" t="s">
        <v>124</v>
      </c>
      <c r="I44" s="12"/>
      <c r="J44" s="16">
        <v>12792</v>
      </c>
      <c r="K44" s="16">
        <v>12792</v>
      </c>
      <c r="L44" s="17">
        <v>0.2</v>
      </c>
      <c r="M44" s="16">
        <v>2132</v>
      </c>
      <c r="N44" s="16">
        <v>12792</v>
      </c>
      <c r="O4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10660</v>
      </c>
      <c r="P44" s="12" t="s">
        <v>36</v>
      </c>
      <c r="Q44" s="12" t="s">
        <v>80</v>
      </c>
      <c r="R44" s="13" t="s">
        <v>125</v>
      </c>
      <c r="S44" s="18" t="s">
        <v>46</v>
      </c>
      <c r="T44" s="12" t="s">
        <v>40</v>
      </c>
      <c r="U44" s="12" t="s">
        <v>41</v>
      </c>
      <c r="V44" s="19" t="s">
        <v>126</v>
      </c>
      <c r="W44" s="26"/>
      <c r="X44" s="29" t="s">
        <v>41</v>
      </c>
      <c r="Y44" s="25" t="str">
        <f>VLOOKUP(Таблица2[[#This Row],[Номер заказа]],[1]!Таблица1[#Data],MATCH("Поставщик",[1]!Таблица1[#Headers],0),FALSE)</f>
        <v>ВСЕИНСТРУМЕНТЫ.РУ ООО</v>
      </c>
      <c r="Z44" s="26" t="s">
        <v>56</v>
      </c>
      <c r="AA44" s="27">
        <f>VLOOKUP(Таблица2[[#This Row],[Номер заказа]],[1]!Таблица1[#Data],MATCH("Дата",[1]!Таблица1[#Headers],0),FALSE)+0</f>
        <v>45594</v>
      </c>
      <c r="AB44" s="28" t="str">
        <f>VLOOKUP(Таблица2[[#This Row],[Номер заказа]],[1]!Таблица1[#Data],MATCH("Валюта",[1]!Таблица1[#Headers],0),FALSE)</f>
        <v>руб.</v>
      </c>
      <c r="AC4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5" spans="1:29" ht="14.25" customHeight="1" x14ac:dyDescent="0.2">
      <c r="A45" s="10" t="s">
        <v>127</v>
      </c>
      <c r="B45" s="11">
        <v>1</v>
      </c>
      <c r="C45" s="12"/>
      <c r="D45" s="13" t="s">
        <v>128</v>
      </c>
      <c r="E45" s="12"/>
      <c r="F45" s="14">
        <v>59.9</v>
      </c>
      <c r="G45" s="12"/>
      <c r="H45" s="15" t="s">
        <v>129</v>
      </c>
      <c r="I45" s="12"/>
      <c r="J45" s="16">
        <v>156.28</v>
      </c>
      <c r="K45" s="16">
        <v>9361.17</v>
      </c>
      <c r="L45" s="17">
        <v>0.2</v>
      </c>
      <c r="M45" s="16">
        <v>1560.2</v>
      </c>
      <c r="N45" s="16">
        <v>9361.17</v>
      </c>
      <c r="O4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7800.97</v>
      </c>
      <c r="P45" s="12" t="s">
        <v>36</v>
      </c>
      <c r="Q45" s="12" t="s">
        <v>80</v>
      </c>
      <c r="R45" s="13" t="s">
        <v>130</v>
      </c>
      <c r="S45" s="18" t="s">
        <v>46</v>
      </c>
      <c r="T45" s="12" t="s">
        <v>40</v>
      </c>
      <c r="U45" s="12" t="s">
        <v>41</v>
      </c>
      <c r="V45" s="19"/>
      <c r="W45" s="12"/>
      <c r="X45" s="20" t="s">
        <v>41</v>
      </c>
      <c r="Y45" s="25" t="str">
        <f>VLOOKUP(Таблица2[[#This Row],[Номер заказа]],[1]!Таблица1[#Data],MATCH("Поставщик",[1]!Таблица1[#Headers],0),FALSE)</f>
        <v>РЕЗИНОВЫЙ ВЫБОР ООО</v>
      </c>
      <c r="Z45" s="26" t="s">
        <v>56</v>
      </c>
      <c r="AA45" s="27">
        <f>VLOOKUP(Таблица2[[#This Row],[Номер заказа]],[1]!Таблица1[#Data],MATCH("Дата",[1]!Таблица1[#Headers],0),FALSE)+0</f>
        <v>45595</v>
      </c>
      <c r="AB45" s="28" t="str">
        <f>VLOOKUP(Таблица2[[#This Row],[Номер заказа]],[1]!Таблица1[#Data],MATCH("Валюта",[1]!Таблица1[#Headers],0),FALSE)</f>
        <v>руб.</v>
      </c>
      <c r="AC4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6" spans="1:29" ht="14.25" customHeight="1" x14ac:dyDescent="0.2">
      <c r="A46" s="10" t="s">
        <v>127</v>
      </c>
      <c r="B46" s="11">
        <v>2</v>
      </c>
      <c r="C46" s="12"/>
      <c r="D46" s="13" t="s">
        <v>131</v>
      </c>
      <c r="E46" s="12"/>
      <c r="F46" s="14">
        <v>24</v>
      </c>
      <c r="G46" s="12"/>
      <c r="H46" s="15" t="s">
        <v>129</v>
      </c>
      <c r="I46" s="12"/>
      <c r="J46" s="16">
        <v>164.15</v>
      </c>
      <c r="K46" s="16">
        <v>3939.6</v>
      </c>
      <c r="L46" s="17">
        <v>0.2</v>
      </c>
      <c r="M46" s="16">
        <v>656.6</v>
      </c>
      <c r="N46" s="16">
        <v>3939.6</v>
      </c>
      <c r="O4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3283</v>
      </c>
      <c r="P46" s="12" t="s">
        <v>36</v>
      </c>
      <c r="Q46" s="12" t="s">
        <v>80</v>
      </c>
      <c r="R46" s="13" t="s">
        <v>130</v>
      </c>
      <c r="S46" s="18" t="s">
        <v>46</v>
      </c>
      <c r="T46" s="12" t="s">
        <v>40</v>
      </c>
      <c r="U46" s="12" t="s">
        <v>41</v>
      </c>
      <c r="V46" s="19"/>
      <c r="W46" s="12"/>
      <c r="X46" s="20" t="s">
        <v>41</v>
      </c>
      <c r="Y46" s="25" t="str">
        <f>VLOOKUP(Таблица2[[#This Row],[Номер заказа]],[1]!Таблица1[#Data],MATCH("Поставщик",[1]!Таблица1[#Headers],0),FALSE)</f>
        <v>РЕЗИНОВЫЙ ВЫБОР ООО</v>
      </c>
      <c r="Z46" s="26" t="s">
        <v>132</v>
      </c>
      <c r="AA46" s="27">
        <f>VLOOKUP(Таблица2[[#This Row],[Номер заказа]],[1]!Таблица1[#Data],MATCH("Дата",[1]!Таблица1[#Headers],0),FALSE)+0</f>
        <v>45595</v>
      </c>
      <c r="AB46" s="28" t="str">
        <f>VLOOKUP(Таблица2[[#This Row],[Номер заказа]],[1]!Таблица1[#Data],MATCH("Валюта",[1]!Таблица1[#Headers],0),FALSE)</f>
        <v>руб.</v>
      </c>
      <c r="AC4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7" spans="1:29" ht="14.25" customHeight="1" x14ac:dyDescent="0.2">
      <c r="A47" s="10" t="s">
        <v>127</v>
      </c>
      <c r="B47" s="11">
        <v>3</v>
      </c>
      <c r="C47" s="12"/>
      <c r="D47" s="13" t="s">
        <v>128</v>
      </c>
      <c r="E47" s="12"/>
      <c r="F47" s="14">
        <v>0.1</v>
      </c>
      <c r="G47" s="12"/>
      <c r="H47" s="15" t="s">
        <v>129</v>
      </c>
      <c r="I47" s="12"/>
      <c r="J47" s="16">
        <v>156.28</v>
      </c>
      <c r="K47" s="16">
        <v>15.63</v>
      </c>
      <c r="L47" s="17">
        <v>0.2</v>
      </c>
      <c r="M47" s="16">
        <v>2.61</v>
      </c>
      <c r="N47" s="16">
        <v>15.63</v>
      </c>
      <c r="O4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13.020000000000001</v>
      </c>
      <c r="P47" s="12" t="s">
        <v>36</v>
      </c>
      <c r="Q47" s="12" t="s">
        <v>80</v>
      </c>
      <c r="R47" s="13" t="s">
        <v>130</v>
      </c>
      <c r="S47" s="18" t="s">
        <v>46</v>
      </c>
      <c r="T47" s="12" t="s">
        <v>40</v>
      </c>
      <c r="U47" s="12" t="s">
        <v>41</v>
      </c>
      <c r="V47" s="19"/>
      <c r="W47" s="12" t="s">
        <v>86</v>
      </c>
      <c r="X47" s="20" t="s">
        <v>47</v>
      </c>
      <c r="Y47" s="25" t="str">
        <f>VLOOKUP(Таблица2[[#This Row],[Номер заказа]],[1]!Таблица1[#Data],MATCH("Поставщик",[1]!Таблица1[#Headers],0),FALSE)</f>
        <v>РЕЗИНОВЫЙ ВЫБОР ООО</v>
      </c>
      <c r="Z47" s="26" t="s">
        <v>132</v>
      </c>
      <c r="AA47" s="27">
        <f>VLOOKUP(Таблица2[[#This Row],[Номер заказа]],[1]!Таблица1[#Data],MATCH("Дата",[1]!Таблица1[#Headers],0),FALSE)+0</f>
        <v>45595</v>
      </c>
      <c r="AB47" s="28" t="str">
        <f>VLOOKUP(Таблица2[[#This Row],[Номер заказа]],[1]!Таблица1[#Data],MATCH("Валюта",[1]!Таблица1[#Headers],0),FALSE)</f>
        <v>руб.</v>
      </c>
      <c r="AC4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8" spans="1:29" ht="14.25" customHeight="1" x14ac:dyDescent="0.2">
      <c r="A48" s="10" t="s">
        <v>127</v>
      </c>
      <c r="B48" s="11">
        <v>4</v>
      </c>
      <c r="C48" s="12"/>
      <c r="D48" s="13" t="s">
        <v>131</v>
      </c>
      <c r="E48" s="12"/>
      <c r="F48" s="14">
        <v>1</v>
      </c>
      <c r="G48" s="12"/>
      <c r="H48" s="15" t="s">
        <v>129</v>
      </c>
      <c r="I48" s="12"/>
      <c r="J48" s="16">
        <v>164.15</v>
      </c>
      <c r="K48" s="16">
        <v>164.15</v>
      </c>
      <c r="L48" s="17">
        <v>0.2</v>
      </c>
      <c r="M48" s="16">
        <v>27.36</v>
      </c>
      <c r="N48" s="16">
        <v>164.15</v>
      </c>
      <c r="O4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136.79000000000002</v>
      </c>
      <c r="P48" s="12" t="s">
        <v>36</v>
      </c>
      <c r="Q48" s="12" t="s">
        <v>80</v>
      </c>
      <c r="R48" s="13" t="s">
        <v>130</v>
      </c>
      <c r="S48" s="18" t="s">
        <v>46</v>
      </c>
      <c r="T48" s="12" t="s">
        <v>40</v>
      </c>
      <c r="U48" s="12" t="s">
        <v>41</v>
      </c>
      <c r="V48" s="19"/>
      <c r="W48" s="12" t="s">
        <v>86</v>
      </c>
      <c r="X48" s="20" t="s">
        <v>47</v>
      </c>
      <c r="Y48" s="25" t="str">
        <f>VLOOKUP(Таблица2[[#This Row],[Номер заказа]],[1]!Таблица1[#Data],MATCH("Поставщик",[1]!Таблица1[#Headers],0),FALSE)</f>
        <v>РЕЗИНОВЫЙ ВЫБОР ООО</v>
      </c>
      <c r="Z48" s="26" t="s">
        <v>132</v>
      </c>
      <c r="AA48" s="27">
        <f>VLOOKUP(Таблица2[[#This Row],[Номер заказа]],[1]!Таблица1[#Data],MATCH("Дата",[1]!Таблица1[#Headers],0),FALSE)+0</f>
        <v>45595</v>
      </c>
      <c r="AB48" s="28" t="str">
        <f>VLOOKUP(Таблица2[[#This Row],[Номер заказа]],[1]!Таблица1[#Data],MATCH("Валюта",[1]!Таблица1[#Headers],0),FALSE)</f>
        <v>руб.</v>
      </c>
      <c r="AC4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49" spans="1:29" ht="14.25" customHeight="1" x14ac:dyDescent="0.2">
      <c r="A49" s="10" t="s">
        <v>133</v>
      </c>
      <c r="B49" s="11">
        <v>1</v>
      </c>
      <c r="C49" s="12"/>
      <c r="D49" s="13" t="s">
        <v>134</v>
      </c>
      <c r="E49" s="12"/>
      <c r="F49" s="14">
        <v>1</v>
      </c>
      <c r="G49" s="12"/>
      <c r="H49" s="15" t="s">
        <v>35</v>
      </c>
      <c r="I49" s="12"/>
      <c r="J49" s="16">
        <v>702</v>
      </c>
      <c r="K49" s="16">
        <v>702</v>
      </c>
      <c r="L49" s="17">
        <v>0.2</v>
      </c>
      <c r="M49" s="16">
        <v>117</v>
      </c>
      <c r="N49" s="16">
        <v>702</v>
      </c>
      <c r="O4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585</v>
      </c>
      <c r="P49" s="12"/>
      <c r="Q49" s="12" t="s">
        <v>95</v>
      </c>
      <c r="R49" s="13" t="s">
        <v>75</v>
      </c>
      <c r="S49" s="18" t="s">
        <v>46</v>
      </c>
      <c r="T49" s="12" t="s">
        <v>71</v>
      </c>
      <c r="U49" s="12" t="s">
        <v>47</v>
      </c>
      <c r="V49" s="19" t="s">
        <v>126</v>
      </c>
      <c r="W49" s="26"/>
      <c r="X49" s="29" t="s">
        <v>41</v>
      </c>
      <c r="Y49" s="25" t="str">
        <f>VLOOKUP(Таблица2[[#This Row],[Номер заказа]],[1]!Таблица1[#Data],MATCH("Поставщик",[1]!Таблица1[#Headers],0),FALSE)</f>
        <v>ДЕЛОВЫЕ ЛИНИИ ООО</v>
      </c>
      <c r="Z49" s="26" t="s">
        <v>71</v>
      </c>
      <c r="AA49" s="27">
        <f>VLOOKUP(Таблица2[[#This Row],[Номер заказа]],[1]!Таблица1[#Data],MATCH("Дата",[1]!Таблица1[#Headers],0),FALSE)+0</f>
        <v>45608</v>
      </c>
      <c r="AB49" s="28" t="str">
        <f>VLOOKUP(Таблица2[[#This Row],[Номер заказа]],[1]!Таблица1[#Data],MATCH("Валюта",[1]!Таблица1[#Headers],0),FALSE)</f>
        <v>руб.</v>
      </c>
      <c r="AC4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50" spans="1:29" ht="14.25" customHeight="1" x14ac:dyDescent="0.2">
      <c r="A50" s="10" t="s">
        <v>133</v>
      </c>
      <c r="B50" s="11">
        <v>2</v>
      </c>
      <c r="C50" s="12"/>
      <c r="D50" s="13" t="s">
        <v>97</v>
      </c>
      <c r="E50" s="12"/>
      <c r="F50" s="14">
        <v>1</v>
      </c>
      <c r="G50" s="12"/>
      <c r="H50" s="15" t="s">
        <v>35</v>
      </c>
      <c r="I50" s="12"/>
      <c r="J50" s="16">
        <v>15</v>
      </c>
      <c r="K50" s="16">
        <v>15</v>
      </c>
      <c r="L50" s="17">
        <v>0.2</v>
      </c>
      <c r="M50" s="16">
        <v>2.5</v>
      </c>
      <c r="N50" s="16">
        <v>15</v>
      </c>
      <c r="O5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50" s="12" t="s">
        <v>36</v>
      </c>
      <c r="Q50" s="12" t="s">
        <v>95</v>
      </c>
      <c r="R50" s="13" t="s">
        <v>75</v>
      </c>
      <c r="S50" s="18" t="s">
        <v>46</v>
      </c>
      <c r="T50" s="12" t="s">
        <v>71</v>
      </c>
      <c r="U50" s="12" t="s">
        <v>47</v>
      </c>
      <c r="V50" s="19" t="s">
        <v>126</v>
      </c>
      <c r="W50" s="26"/>
      <c r="X50" s="29" t="s">
        <v>41</v>
      </c>
      <c r="Y50" s="25" t="str">
        <f>VLOOKUP(Таблица2[[#This Row],[Номер заказа]],[1]!Таблица1[#Data],MATCH("Поставщик",[1]!Таблица1[#Headers],0),FALSE)</f>
        <v>ДЕЛОВЫЕ ЛИНИИ ООО</v>
      </c>
      <c r="Z50" s="26" t="s">
        <v>71</v>
      </c>
      <c r="AA50" s="27">
        <f>VLOOKUP(Таблица2[[#This Row],[Номер заказа]],[1]!Таблица1[#Data],MATCH("Дата",[1]!Таблица1[#Headers],0),FALSE)+0</f>
        <v>45608</v>
      </c>
      <c r="AB50" s="28" t="str">
        <f>VLOOKUP(Таблица2[[#This Row],[Номер заказа]],[1]!Таблица1[#Data],MATCH("Валюта",[1]!Таблица1[#Headers],0),FALSE)</f>
        <v>руб.</v>
      </c>
      <c r="AC5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51" spans="1:29" ht="14.25" customHeight="1" x14ac:dyDescent="0.2">
      <c r="A51" s="10" t="s">
        <v>133</v>
      </c>
      <c r="B51" s="11">
        <v>3</v>
      </c>
      <c r="C51" s="12"/>
      <c r="D51" s="13" t="s">
        <v>135</v>
      </c>
      <c r="E51" s="12"/>
      <c r="F51" s="14">
        <v>1</v>
      </c>
      <c r="G51" s="12"/>
      <c r="H51" s="15" t="s">
        <v>35</v>
      </c>
      <c r="I51" s="12"/>
      <c r="J51" s="16">
        <v>100</v>
      </c>
      <c r="K51" s="16">
        <v>100</v>
      </c>
      <c r="L51" s="17">
        <v>0.2</v>
      </c>
      <c r="M51" s="16">
        <v>16.670000000000002</v>
      </c>
      <c r="N51" s="16">
        <v>100</v>
      </c>
      <c r="O5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83.33</v>
      </c>
      <c r="P51" s="12"/>
      <c r="Q51" s="12" t="s">
        <v>95</v>
      </c>
      <c r="R51" s="13" t="s">
        <v>75</v>
      </c>
      <c r="S51" s="18" t="s">
        <v>46</v>
      </c>
      <c r="T51" s="12" t="s">
        <v>71</v>
      </c>
      <c r="U51" s="12" t="s">
        <v>47</v>
      </c>
      <c r="V51" s="19" t="s">
        <v>126</v>
      </c>
      <c r="W51" s="26"/>
      <c r="X51" s="29" t="s">
        <v>41</v>
      </c>
      <c r="Y51" s="25" t="str">
        <f>VLOOKUP(Таблица2[[#This Row],[Номер заказа]],[1]!Таблица1[#Data],MATCH("Поставщик",[1]!Таблица1[#Headers],0),FALSE)</f>
        <v>ДЕЛОВЫЕ ЛИНИИ ООО</v>
      </c>
      <c r="Z51" s="26" t="s">
        <v>71</v>
      </c>
      <c r="AA51" s="27">
        <f>VLOOKUP(Таблица2[[#This Row],[Номер заказа]],[1]!Таблица1[#Data],MATCH("Дата",[1]!Таблица1[#Headers],0),FALSE)+0</f>
        <v>45608</v>
      </c>
      <c r="AB51" s="28" t="str">
        <f>VLOOKUP(Таблица2[[#This Row],[Номер заказа]],[1]!Таблица1[#Data],MATCH("Валюта",[1]!Таблица1[#Headers],0),FALSE)</f>
        <v>руб.</v>
      </c>
      <c r="AC5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52" spans="1:29" ht="14.25" customHeight="1" x14ac:dyDescent="0.2">
      <c r="A52" s="10" t="s">
        <v>133</v>
      </c>
      <c r="B52" s="11">
        <v>4</v>
      </c>
      <c r="C52" s="12"/>
      <c r="D52" s="13" t="s">
        <v>78</v>
      </c>
      <c r="E52" s="12"/>
      <c r="F52" s="14">
        <v>1</v>
      </c>
      <c r="G52" s="12"/>
      <c r="H52" s="15" t="s">
        <v>35</v>
      </c>
      <c r="I52" s="12"/>
      <c r="J52" s="16">
        <v>119</v>
      </c>
      <c r="K52" s="16">
        <v>119</v>
      </c>
      <c r="L52" s="17">
        <v>0</v>
      </c>
      <c r="M52" s="16"/>
      <c r="N52" s="16">
        <v>119</v>
      </c>
      <c r="O5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119</v>
      </c>
      <c r="P52" s="12" t="s">
        <v>36</v>
      </c>
      <c r="Q52" s="12" t="s">
        <v>95</v>
      </c>
      <c r="R52" s="13" t="s">
        <v>75</v>
      </c>
      <c r="S52" s="18" t="s">
        <v>46</v>
      </c>
      <c r="T52" s="12" t="s">
        <v>71</v>
      </c>
      <c r="U52" s="12" t="s">
        <v>47</v>
      </c>
      <c r="V52" s="19" t="s">
        <v>126</v>
      </c>
      <c r="W52" s="26"/>
      <c r="X52" s="29" t="s">
        <v>41</v>
      </c>
      <c r="Y52" s="25" t="str">
        <f>VLOOKUP(Таблица2[[#This Row],[Номер заказа]],[1]!Таблица1[#Data],MATCH("Поставщик",[1]!Таблица1[#Headers],0),FALSE)</f>
        <v>ДЕЛОВЫЕ ЛИНИИ ООО</v>
      </c>
      <c r="Z52" s="26" t="s">
        <v>71</v>
      </c>
      <c r="AA52" s="27">
        <f>VLOOKUP(Таблица2[[#This Row],[Номер заказа]],[1]!Таблица1[#Data],MATCH("Дата",[1]!Таблица1[#Headers],0),FALSE)+0</f>
        <v>45608</v>
      </c>
      <c r="AB52" s="28" t="str">
        <f>VLOOKUP(Таблица2[[#This Row],[Номер заказа]],[1]!Таблица1[#Data],MATCH("Валюта",[1]!Таблица1[#Headers],0),FALSE)</f>
        <v>руб.</v>
      </c>
      <c r="AC5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53" spans="1:29" ht="14.25" customHeight="1" x14ac:dyDescent="0.2">
      <c r="A53" s="10" t="s">
        <v>136</v>
      </c>
      <c r="B53" s="11">
        <v>1</v>
      </c>
      <c r="C53" s="12"/>
      <c r="D53" s="13" t="s">
        <v>137</v>
      </c>
      <c r="E53" s="12"/>
      <c r="F53" s="14">
        <v>6</v>
      </c>
      <c r="G53" s="12"/>
      <c r="H53" s="15" t="s">
        <v>35</v>
      </c>
      <c r="I53" s="12"/>
      <c r="J53" s="16">
        <v>803.17</v>
      </c>
      <c r="K53" s="16">
        <v>4819.0200000000004</v>
      </c>
      <c r="L53" s="17">
        <v>0.2</v>
      </c>
      <c r="M53" s="16">
        <v>803.17</v>
      </c>
      <c r="N53" s="16">
        <v>4819.0200000000004</v>
      </c>
      <c r="O5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4015.8500000000004</v>
      </c>
      <c r="P53" s="12" t="s">
        <v>36</v>
      </c>
      <c r="Q53" s="12" t="s">
        <v>80</v>
      </c>
      <c r="R53" s="13" t="s">
        <v>138</v>
      </c>
      <c r="S53" s="18" t="s">
        <v>46</v>
      </c>
      <c r="T53" s="12" t="s">
        <v>40</v>
      </c>
      <c r="U53" s="12" t="s">
        <v>41</v>
      </c>
      <c r="V53" s="19"/>
      <c r="W53" s="12"/>
      <c r="X53" s="20" t="s">
        <v>41</v>
      </c>
      <c r="Y53" s="25" t="str">
        <f>VLOOKUP(Таблица2[[#This Row],[Номер заказа]],[1]!Таблица1[#Data],MATCH("Поставщик",[1]!Таблица1[#Headers],0),FALSE)</f>
        <v>УТК-СТАЛЬ ООО (ИНН 4706043243)</v>
      </c>
      <c r="Z53" s="26" t="s">
        <v>139</v>
      </c>
      <c r="AA53" s="27">
        <f>VLOOKUP(Таблица2[[#This Row],[Номер заказа]],[1]!Таблица1[#Data],MATCH("Дата",[1]!Таблица1[#Headers],0),FALSE)+0</f>
        <v>45610</v>
      </c>
      <c r="AB53" s="28" t="str">
        <f>VLOOKUP(Таблица2[[#This Row],[Номер заказа]],[1]!Таблица1[#Data],MATCH("Валюта",[1]!Таблица1[#Headers],0),FALSE)</f>
        <v>руб.</v>
      </c>
      <c r="AC53" s="28">
        <f>_xlfn.XLOOKUP(Таблица2[[#This Row],[Номенклатура]],[1]!Таблица24[Наименование],[1]!Таблица24[Кол-во],"Нет на складе",0)</f>
        <v>6</v>
      </c>
    </row>
    <row r="54" spans="1:29" ht="14.25" customHeight="1" x14ac:dyDescent="0.2">
      <c r="A54" s="10" t="s">
        <v>136</v>
      </c>
      <c r="B54" s="11">
        <v>2</v>
      </c>
      <c r="C54" s="12"/>
      <c r="D54" s="13" t="s">
        <v>140</v>
      </c>
      <c r="E54" s="12"/>
      <c r="F54" s="14">
        <v>12</v>
      </c>
      <c r="G54" s="12"/>
      <c r="H54" s="15" t="s">
        <v>35</v>
      </c>
      <c r="I54" s="12"/>
      <c r="J54" s="16">
        <v>919.79</v>
      </c>
      <c r="K54" s="16">
        <v>11037.48</v>
      </c>
      <c r="L54" s="17">
        <v>0.2</v>
      </c>
      <c r="M54" s="16">
        <v>1839.58</v>
      </c>
      <c r="N54" s="16">
        <v>11037.48</v>
      </c>
      <c r="O5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9197.9</v>
      </c>
      <c r="P54" s="12" t="s">
        <v>36</v>
      </c>
      <c r="Q54" s="12" t="s">
        <v>80</v>
      </c>
      <c r="R54" s="13" t="s">
        <v>138</v>
      </c>
      <c r="S54" s="18" t="s">
        <v>46</v>
      </c>
      <c r="T54" s="12" t="s">
        <v>40</v>
      </c>
      <c r="U54" s="12" t="s">
        <v>41</v>
      </c>
      <c r="V54" s="19"/>
      <c r="W54" s="12"/>
      <c r="X54" s="20" t="s">
        <v>41</v>
      </c>
      <c r="Y54" s="25" t="str">
        <f>VLOOKUP(Таблица2[[#This Row],[Номер заказа]],[1]!Таблица1[#Data],MATCH("Поставщик",[1]!Таблица1[#Headers],0),FALSE)</f>
        <v>УТК-СТАЛЬ ООО (ИНН 4706043243)</v>
      </c>
      <c r="Z54" s="26" t="s">
        <v>141</v>
      </c>
      <c r="AA54" s="27">
        <f>VLOOKUP(Таблица2[[#This Row],[Номер заказа]],[1]!Таблица1[#Data],MATCH("Дата",[1]!Таблица1[#Headers],0),FALSE)+0</f>
        <v>45610</v>
      </c>
      <c r="AB54" s="28" t="str">
        <f>VLOOKUP(Таблица2[[#This Row],[Номер заказа]],[1]!Таблица1[#Data],MATCH("Валюта",[1]!Таблица1[#Headers],0),FALSE)</f>
        <v>руб.</v>
      </c>
      <c r="AC54" s="28">
        <f>_xlfn.XLOOKUP(Таблица2[[#This Row],[Номенклатура]],[1]!Таблица24[Наименование],[1]!Таблица24[Кол-во],"Нет на складе",0)</f>
        <v>12</v>
      </c>
    </row>
    <row r="55" spans="1:29" ht="14.25" customHeight="1" x14ac:dyDescent="0.2">
      <c r="A55" s="10" t="s">
        <v>142</v>
      </c>
      <c r="B55" s="11">
        <v>1</v>
      </c>
      <c r="C55" s="12"/>
      <c r="D55" s="13" t="s">
        <v>143</v>
      </c>
      <c r="E55" s="12"/>
      <c r="F55" s="14">
        <v>2</v>
      </c>
      <c r="G55" s="12"/>
      <c r="H55" s="15" t="s">
        <v>35</v>
      </c>
      <c r="I55" s="12"/>
      <c r="J55" s="16">
        <v>12931.87</v>
      </c>
      <c r="K55" s="16">
        <v>25863.74</v>
      </c>
      <c r="L55" s="17">
        <v>0.2</v>
      </c>
      <c r="M55" s="16">
        <v>4310.62</v>
      </c>
      <c r="N55" s="16">
        <v>25863.74</v>
      </c>
      <c r="O5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21553.120000000003</v>
      </c>
      <c r="P55" s="12" t="s">
        <v>36</v>
      </c>
      <c r="Q55" s="12" t="s">
        <v>80</v>
      </c>
      <c r="R55" s="13" t="s">
        <v>144</v>
      </c>
      <c r="S55" s="18" t="s">
        <v>46</v>
      </c>
      <c r="T55" s="12" t="s">
        <v>40</v>
      </c>
      <c r="U55" s="12" t="s">
        <v>41</v>
      </c>
      <c r="V55" s="19"/>
      <c r="W55" s="12"/>
      <c r="X55" s="20" t="s">
        <v>41</v>
      </c>
      <c r="Y55" s="25" t="str">
        <f>VLOOKUP(Таблица2[[#This Row],[Номер заказа]],[1]!Таблица1[#Data],MATCH("Поставщик",[1]!Таблица1[#Headers],0),FALSE)</f>
        <v>КОЛЕСОМАРКЕТ ООО</v>
      </c>
      <c r="Z55" s="26" t="s">
        <v>65</v>
      </c>
      <c r="AA55" s="27">
        <f>VLOOKUP(Таблица2[[#This Row],[Номер заказа]],[1]!Таблица1[#Data],MATCH("Дата",[1]!Таблица1[#Headers],0),FALSE)+0</f>
        <v>45621</v>
      </c>
      <c r="AB55" s="28" t="str">
        <f>VLOOKUP(Таблица2[[#This Row],[Номер заказа]],[1]!Таблица1[#Data],MATCH("Валюта",[1]!Таблица1[#Headers],0),FALSE)</f>
        <v>руб.</v>
      </c>
      <c r="AC55" s="28">
        <f>_xlfn.XLOOKUP(Таблица2[[#This Row],[Номенклатура]],[1]!Таблица24[Наименование],[1]!Таблица24[Кол-во],"Нет на складе",0)</f>
        <v>2</v>
      </c>
    </row>
    <row r="56" spans="1:29" ht="14.25" customHeight="1" x14ac:dyDescent="0.2">
      <c r="A56" s="10" t="s">
        <v>142</v>
      </c>
      <c r="B56" s="11">
        <v>2</v>
      </c>
      <c r="C56" s="12"/>
      <c r="D56" s="13" t="s">
        <v>145</v>
      </c>
      <c r="E56" s="12"/>
      <c r="F56" s="14">
        <v>2</v>
      </c>
      <c r="G56" s="12"/>
      <c r="H56" s="15" t="s">
        <v>35</v>
      </c>
      <c r="I56" s="12"/>
      <c r="J56" s="16">
        <v>3863.29</v>
      </c>
      <c r="K56" s="16">
        <v>7726.58</v>
      </c>
      <c r="L56" s="17">
        <v>0.2</v>
      </c>
      <c r="M56" s="16">
        <v>1287.76</v>
      </c>
      <c r="N56" s="16">
        <v>7726.58</v>
      </c>
      <c r="O5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6438.82</v>
      </c>
      <c r="P56" s="12" t="s">
        <v>36</v>
      </c>
      <c r="Q56" s="12" t="s">
        <v>80</v>
      </c>
      <c r="R56" s="13" t="s">
        <v>146</v>
      </c>
      <c r="S56" s="18" t="s">
        <v>46</v>
      </c>
      <c r="T56" s="12" t="s">
        <v>40</v>
      </c>
      <c r="U56" s="12" t="s">
        <v>41</v>
      </c>
      <c r="V56" s="19"/>
      <c r="W56" s="12"/>
      <c r="X56" s="20" t="s">
        <v>41</v>
      </c>
      <c r="Y56" s="25" t="str">
        <f>VLOOKUP(Таблица2[[#This Row],[Номер заказа]],[1]!Таблица1[#Data],MATCH("Поставщик",[1]!Таблица1[#Headers],0),FALSE)</f>
        <v>КОЛЕСОМАРКЕТ ООО</v>
      </c>
      <c r="Z56" s="26" t="s">
        <v>71</v>
      </c>
      <c r="AA56" s="27">
        <f>VLOOKUP(Таблица2[[#This Row],[Номер заказа]],[1]!Таблица1[#Data],MATCH("Дата",[1]!Таблица1[#Headers],0),FALSE)+0</f>
        <v>45621</v>
      </c>
      <c r="AB56" s="28" t="str">
        <f>VLOOKUP(Таблица2[[#This Row],[Номер заказа]],[1]!Таблица1[#Data],MATCH("Валюта",[1]!Таблица1[#Headers],0),FALSE)</f>
        <v>руб.</v>
      </c>
      <c r="AC56" s="28">
        <f>_xlfn.XLOOKUP(Таблица2[[#This Row],[Номенклатура]],[1]!Таблица24[Наименование],[1]!Таблица24[Кол-во],"Нет на складе",0)</f>
        <v>1</v>
      </c>
    </row>
    <row r="57" spans="1:29" ht="14.25" customHeight="1" x14ac:dyDescent="0.2">
      <c r="A57" s="10" t="s">
        <v>142</v>
      </c>
      <c r="B57" s="11">
        <v>3</v>
      </c>
      <c r="C57" s="12"/>
      <c r="D57" s="13" t="s">
        <v>147</v>
      </c>
      <c r="E57" s="12"/>
      <c r="F57" s="14">
        <v>4</v>
      </c>
      <c r="G57" s="12"/>
      <c r="H57" s="15" t="s">
        <v>35</v>
      </c>
      <c r="I57" s="12"/>
      <c r="J57" s="16">
        <v>688.57</v>
      </c>
      <c r="K57" s="16">
        <v>2754.29</v>
      </c>
      <c r="L57" s="17">
        <v>0.2</v>
      </c>
      <c r="M57" s="16">
        <v>459.05</v>
      </c>
      <c r="N57" s="16">
        <v>2754.29</v>
      </c>
      <c r="O5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2295.2399999999998</v>
      </c>
      <c r="P57" s="12" t="s">
        <v>36</v>
      </c>
      <c r="Q57" s="12" t="s">
        <v>80</v>
      </c>
      <c r="R57" s="13" t="s">
        <v>148</v>
      </c>
      <c r="S57" s="18" t="s">
        <v>46</v>
      </c>
      <c r="T57" s="12" t="s">
        <v>40</v>
      </c>
      <c r="U57" s="12" t="s">
        <v>41</v>
      </c>
      <c r="V57" s="19"/>
      <c r="W57" s="12"/>
      <c r="X57" s="20" t="s">
        <v>41</v>
      </c>
      <c r="Y57" s="25" t="str">
        <f>VLOOKUP(Таблица2[[#This Row],[Номер заказа]],[1]!Таблица1[#Data],MATCH("Поставщик",[1]!Таблица1[#Headers],0),FALSE)</f>
        <v>КОЛЕСОМАРКЕТ ООО</v>
      </c>
      <c r="Z57" s="26" t="s">
        <v>71</v>
      </c>
      <c r="AA57" s="27">
        <f>VLOOKUP(Таблица2[[#This Row],[Номер заказа]],[1]!Таблица1[#Data],MATCH("Дата",[1]!Таблица1[#Headers],0),FALSE)+0</f>
        <v>45621</v>
      </c>
      <c r="AB57" s="28" t="str">
        <f>VLOOKUP(Таблица2[[#This Row],[Номер заказа]],[1]!Таблица1[#Data],MATCH("Валюта",[1]!Таблица1[#Headers],0),FALSE)</f>
        <v>руб.</v>
      </c>
      <c r="AC57" s="28">
        <f>_xlfn.XLOOKUP(Таблица2[[#This Row],[Номенклатура]],[1]!Таблица24[Наименование],[1]!Таблица24[Кол-во],"Нет на складе",0)</f>
        <v>4</v>
      </c>
    </row>
    <row r="58" spans="1:29" ht="14.25" customHeight="1" x14ac:dyDescent="0.2">
      <c r="A58" s="10" t="s">
        <v>142</v>
      </c>
      <c r="B58" s="11">
        <v>4</v>
      </c>
      <c r="C58" s="12"/>
      <c r="D58" s="13" t="s">
        <v>149</v>
      </c>
      <c r="E58" s="12"/>
      <c r="F58" s="14">
        <v>5</v>
      </c>
      <c r="G58" s="12"/>
      <c r="H58" s="15" t="s">
        <v>35</v>
      </c>
      <c r="I58" s="12"/>
      <c r="J58" s="16">
        <v>457.3</v>
      </c>
      <c r="K58" s="16">
        <v>2286.48</v>
      </c>
      <c r="L58" s="17">
        <v>0.2</v>
      </c>
      <c r="M58" s="16">
        <v>381.08</v>
      </c>
      <c r="N58" s="16">
        <v>2286.48</v>
      </c>
      <c r="O5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1905.4</v>
      </c>
      <c r="P58" s="12" t="s">
        <v>36</v>
      </c>
      <c r="Q58" s="12" t="s">
        <v>80</v>
      </c>
      <c r="R58" s="13" t="s">
        <v>150</v>
      </c>
      <c r="S58" s="18" t="s">
        <v>151</v>
      </c>
      <c r="T58" s="12" t="s">
        <v>40</v>
      </c>
      <c r="U58" s="12" t="s">
        <v>41</v>
      </c>
      <c r="V58" s="19"/>
      <c r="W58" s="12"/>
      <c r="X58" s="20" t="s">
        <v>41</v>
      </c>
      <c r="Y58" s="25" t="str">
        <f>VLOOKUP(Таблица2[[#This Row],[Номер заказа]],[1]!Таблица1[#Data],MATCH("Поставщик",[1]!Таблица1[#Headers],0),FALSE)</f>
        <v>КОЛЕСОМАРКЕТ ООО</v>
      </c>
      <c r="Z58" s="26" t="s">
        <v>71</v>
      </c>
      <c r="AA58" s="27">
        <f>VLOOKUP(Таблица2[[#This Row],[Номер заказа]],[1]!Таблица1[#Data],MATCH("Дата",[1]!Таблица1[#Headers],0),FALSE)+0</f>
        <v>45621</v>
      </c>
      <c r="AB58" s="28" t="str">
        <f>VLOOKUP(Таблица2[[#This Row],[Номер заказа]],[1]!Таблица1[#Data],MATCH("Валюта",[1]!Таблица1[#Headers],0),FALSE)</f>
        <v>руб.</v>
      </c>
      <c r="AC5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59" spans="1:29" ht="14.25" customHeight="1" x14ac:dyDescent="0.2">
      <c r="A59" s="10" t="s">
        <v>142</v>
      </c>
      <c r="B59" s="11">
        <v>5</v>
      </c>
      <c r="C59" s="12"/>
      <c r="D59" s="13" t="s">
        <v>149</v>
      </c>
      <c r="E59" s="12"/>
      <c r="F59" s="14">
        <v>1</v>
      </c>
      <c r="G59" s="12"/>
      <c r="H59" s="15" t="s">
        <v>35</v>
      </c>
      <c r="I59" s="12"/>
      <c r="J59" s="16">
        <v>460.67</v>
      </c>
      <c r="K59" s="16">
        <v>460.67</v>
      </c>
      <c r="L59" s="17">
        <v>0.2</v>
      </c>
      <c r="M59" s="16">
        <v>76.78</v>
      </c>
      <c r="N59" s="16">
        <v>460.67</v>
      </c>
      <c r="O5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383.89</v>
      </c>
      <c r="P59" s="12" t="s">
        <v>36</v>
      </c>
      <c r="Q59" s="12" t="s">
        <v>80</v>
      </c>
      <c r="R59" s="13" t="s">
        <v>69</v>
      </c>
      <c r="S59" s="18" t="s">
        <v>63</v>
      </c>
      <c r="T59" s="12" t="s">
        <v>40</v>
      </c>
      <c r="U59" s="12" t="s">
        <v>41</v>
      </c>
      <c r="V59" s="19"/>
      <c r="W59" s="12"/>
      <c r="X59" s="20" t="s">
        <v>41</v>
      </c>
      <c r="Y59" s="25" t="str">
        <f>VLOOKUP(Таблица2[[#This Row],[Номер заказа]],[1]!Таблица1[#Data],MATCH("Поставщик",[1]!Таблица1[#Headers],0),FALSE)</f>
        <v>КОЛЕСОМАРКЕТ ООО</v>
      </c>
      <c r="Z59" s="26" t="s">
        <v>71</v>
      </c>
      <c r="AA59" s="27">
        <f>VLOOKUP(Таблица2[[#This Row],[Номер заказа]],[1]!Таблица1[#Data],MATCH("Дата",[1]!Таблица1[#Headers],0),FALSE)+0</f>
        <v>45621</v>
      </c>
      <c r="AB59" s="28" t="str">
        <f>VLOOKUP(Таблица2[[#This Row],[Номер заказа]],[1]!Таблица1[#Data],MATCH("Валюта",[1]!Таблица1[#Headers],0),FALSE)</f>
        <v>руб.</v>
      </c>
      <c r="AC5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0" spans="1:29" ht="14.25" customHeight="1" x14ac:dyDescent="0.2">
      <c r="A60" s="10" t="s">
        <v>152</v>
      </c>
      <c r="B60" s="11">
        <v>1</v>
      </c>
      <c r="C60" s="12"/>
      <c r="D60" s="13" t="s">
        <v>153</v>
      </c>
      <c r="E60" s="12"/>
      <c r="F60" s="14">
        <v>2</v>
      </c>
      <c r="G60" s="12"/>
      <c r="H60" s="15" t="s">
        <v>35</v>
      </c>
      <c r="I60" s="12"/>
      <c r="J60" s="16">
        <v>323.37</v>
      </c>
      <c r="K60" s="16">
        <v>646.74</v>
      </c>
      <c r="L60" s="17">
        <v>0.2</v>
      </c>
      <c r="M60" s="16">
        <v>107.79</v>
      </c>
      <c r="N60" s="16">
        <v>646.74</v>
      </c>
      <c r="O6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53895.000000000007</v>
      </c>
      <c r="P60" s="12" t="s">
        <v>36</v>
      </c>
      <c r="Q60" s="12" t="s">
        <v>80</v>
      </c>
      <c r="R60" s="13" t="s">
        <v>154</v>
      </c>
      <c r="S60" s="18" t="s">
        <v>46</v>
      </c>
      <c r="T60" s="12" t="s">
        <v>40</v>
      </c>
      <c r="U60" s="12" t="s">
        <v>47</v>
      </c>
      <c r="V60" s="19"/>
      <c r="W60" s="12"/>
      <c r="X60" s="20" t="s">
        <v>41</v>
      </c>
      <c r="Y60" s="25" t="str">
        <f>VLOOKUP(Таблица2[[#This Row],[Номер заказа]],[1]!Таблица1[#Data],MATCH("Поставщик",[1]!Таблица1[#Headers],0),FALSE)</f>
        <v>РУМАТИКА ООО</v>
      </c>
      <c r="Z60" s="26" t="s">
        <v>65</v>
      </c>
      <c r="AA60" s="27">
        <f>VLOOKUP(Таблица2[[#This Row],[Номер заказа]],[1]!Таблица1[#Data],MATCH("Дата",[1]!Таблица1[#Headers],0),FALSE)+0</f>
        <v>45621</v>
      </c>
      <c r="AB60" s="28" t="str">
        <f>VLOOKUP(Таблица2[[#This Row],[Номер заказа]],[1]!Таблица1[#Data],MATCH("Валюта",[1]!Таблица1[#Headers],0),FALSE)</f>
        <v>EUR</v>
      </c>
      <c r="AC6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1" spans="1:29" ht="14.25" customHeight="1" x14ac:dyDescent="0.2">
      <c r="A61" s="10" t="s">
        <v>155</v>
      </c>
      <c r="B61" s="11">
        <v>1</v>
      </c>
      <c r="C61" s="12"/>
      <c r="D61" s="13" t="s">
        <v>134</v>
      </c>
      <c r="E61" s="12"/>
      <c r="F61" s="14">
        <v>1</v>
      </c>
      <c r="G61" s="12"/>
      <c r="H61" s="15" t="s">
        <v>35</v>
      </c>
      <c r="I61" s="12"/>
      <c r="J61" s="16">
        <v>1010</v>
      </c>
      <c r="K61" s="16">
        <v>1010</v>
      </c>
      <c r="L61" s="17">
        <v>0.2</v>
      </c>
      <c r="M61" s="16">
        <v>168.33</v>
      </c>
      <c r="N61" s="16">
        <v>1010</v>
      </c>
      <c r="O6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841.67</v>
      </c>
      <c r="P61" s="12" t="s">
        <v>36</v>
      </c>
      <c r="Q61" s="12" t="s">
        <v>37</v>
      </c>
      <c r="R61" s="13" t="s">
        <v>75</v>
      </c>
      <c r="S61" s="18" t="s">
        <v>46</v>
      </c>
      <c r="T61" s="12" t="s">
        <v>71</v>
      </c>
      <c r="U61" s="12" t="s">
        <v>47</v>
      </c>
      <c r="V61" s="19"/>
      <c r="W61" s="12"/>
      <c r="X61" s="20" t="s">
        <v>41</v>
      </c>
      <c r="Y61" s="25" t="str">
        <f>VLOOKUP(Таблица2[[#This Row],[Номер заказа]],[1]!Таблица1[#Data],MATCH("Поставщик",[1]!Таблица1[#Headers],0),FALSE)</f>
        <v>ДЕЛОВЫЕ ЛИНИИ ООО</v>
      </c>
      <c r="Z61" s="26" t="s">
        <v>71</v>
      </c>
      <c r="AA61" s="27">
        <f>VLOOKUP(Таблица2[[#This Row],[Номер заказа]],[1]!Таблица1[#Data],MATCH("Дата",[1]!Таблица1[#Headers],0),FALSE)+0</f>
        <v>45624</v>
      </c>
      <c r="AB61" s="28" t="str">
        <f>VLOOKUP(Таблица2[[#This Row],[Номер заказа]],[1]!Таблица1[#Data],MATCH("Валюта",[1]!Таблица1[#Headers],0),FALSE)</f>
        <v>руб.</v>
      </c>
      <c r="AC6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2" spans="1:29" ht="14.25" customHeight="1" x14ac:dyDescent="0.2">
      <c r="A62" s="10" t="s">
        <v>155</v>
      </c>
      <c r="B62" s="11">
        <v>2</v>
      </c>
      <c r="C62" s="12"/>
      <c r="D62" s="13" t="s">
        <v>97</v>
      </c>
      <c r="E62" s="12"/>
      <c r="F62" s="14">
        <v>1</v>
      </c>
      <c r="G62" s="12"/>
      <c r="H62" s="15" t="s">
        <v>35</v>
      </c>
      <c r="I62" s="12"/>
      <c r="J62" s="16">
        <v>15</v>
      </c>
      <c r="K62" s="16">
        <v>15</v>
      </c>
      <c r="L62" s="17">
        <v>0.2</v>
      </c>
      <c r="M62" s="16">
        <v>2.5</v>
      </c>
      <c r="N62" s="16">
        <v>15</v>
      </c>
      <c r="O6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62" s="12" t="s">
        <v>36</v>
      </c>
      <c r="Q62" s="12" t="s">
        <v>37</v>
      </c>
      <c r="R62" s="13" t="s">
        <v>75</v>
      </c>
      <c r="S62" s="18" t="s">
        <v>46</v>
      </c>
      <c r="T62" s="12" t="s">
        <v>71</v>
      </c>
      <c r="U62" s="12" t="s">
        <v>47</v>
      </c>
      <c r="V62" s="19"/>
      <c r="W62" s="12"/>
      <c r="X62" s="20" t="s">
        <v>41</v>
      </c>
      <c r="Y62" s="25" t="str">
        <f>VLOOKUP(Таблица2[[#This Row],[Номер заказа]],[1]!Таблица1[#Data],MATCH("Поставщик",[1]!Таблица1[#Headers],0),FALSE)</f>
        <v>ДЕЛОВЫЕ ЛИНИИ ООО</v>
      </c>
      <c r="Z62" s="26" t="s">
        <v>71</v>
      </c>
      <c r="AA62" s="27">
        <f>VLOOKUP(Таблица2[[#This Row],[Номер заказа]],[1]!Таблица1[#Data],MATCH("Дата",[1]!Таблица1[#Headers],0),FALSE)+0</f>
        <v>45624</v>
      </c>
      <c r="AB62" s="28" t="str">
        <f>VLOOKUP(Таблица2[[#This Row],[Номер заказа]],[1]!Таблица1[#Data],MATCH("Валюта",[1]!Таблица1[#Headers],0),FALSE)</f>
        <v>руб.</v>
      </c>
      <c r="AC6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3" spans="1:29" ht="14.25" customHeight="1" x14ac:dyDescent="0.2">
      <c r="A63" s="10" t="s">
        <v>155</v>
      </c>
      <c r="B63" s="11">
        <v>3</v>
      </c>
      <c r="C63" s="12"/>
      <c r="D63" s="13" t="s">
        <v>78</v>
      </c>
      <c r="E63" s="12"/>
      <c r="F63" s="14">
        <v>1</v>
      </c>
      <c r="G63" s="12"/>
      <c r="H63" s="15" t="s">
        <v>35</v>
      </c>
      <c r="I63" s="12"/>
      <c r="J63" s="16">
        <v>188</v>
      </c>
      <c r="K63" s="16">
        <v>188</v>
      </c>
      <c r="L63" s="17">
        <v>0</v>
      </c>
      <c r="M63" s="16"/>
      <c r="N63" s="16">
        <v>188</v>
      </c>
      <c r="O6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188</v>
      </c>
      <c r="P63" s="12" t="s">
        <v>36</v>
      </c>
      <c r="Q63" s="12" t="s">
        <v>37</v>
      </c>
      <c r="R63" s="13" t="s">
        <v>75</v>
      </c>
      <c r="S63" s="18" t="s">
        <v>46</v>
      </c>
      <c r="T63" s="12" t="s">
        <v>71</v>
      </c>
      <c r="U63" s="12" t="s">
        <v>47</v>
      </c>
      <c r="V63" s="19"/>
      <c r="W63" s="12"/>
      <c r="X63" s="20" t="s">
        <v>41</v>
      </c>
      <c r="Y63" s="25" t="str">
        <f>VLOOKUP(Таблица2[[#This Row],[Номер заказа]],[1]!Таблица1[#Data],MATCH("Поставщик",[1]!Таблица1[#Headers],0),FALSE)</f>
        <v>ДЕЛОВЫЕ ЛИНИИ ООО</v>
      </c>
      <c r="Z63" s="26" t="s">
        <v>71</v>
      </c>
      <c r="AA63" s="27">
        <f>VLOOKUP(Таблица2[[#This Row],[Номер заказа]],[1]!Таблица1[#Data],MATCH("Дата",[1]!Таблица1[#Headers],0),FALSE)+0</f>
        <v>45624</v>
      </c>
      <c r="AB63" s="28" t="str">
        <f>VLOOKUP(Таблица2[[#This Row],[Номер заказа]],[1]!Таблица1[#Data],MATCH("Валюта",[1]!Таблица1[#Headers],0),FALSE)</f>
        <v>руб.</v>
      </c>
      <c r="AC6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4" spans="1:29" ht="14.25" customHeight="1" x14ac:dyDescent="0.2">
      <c r="A64" s="10" t="s">
        <v>156</v>
      </c>
      <c r="B64" s="11">
        <v>1</v>
      </c>
      <c r="C64" s="12"/>
      <c r="D64" s="13" t="s">
        <v>134</v>
      </c>
      <c r="E64" s="12"/>
      <c r="F64" s="14">
        <v>1</v>
      </c>
      <c r="G64" s="12"/>
      <c r="H64" s="15" t="s">
        <v>35</v>
      </c>
      <c r="I64" s="12"/>
      <c r="J64" s="16">
        <v>2282</v>
      </c>
      <c r="K64" s="16">
        <v>2282</v>
      </c>
      <c r="L64" s="17">
        <v>0.2</v>
      </c>
      <c r="M64" s="16">
        <v>380.33</v>
      </c>
      <c r="N64" s="16">
        <v>2282</v>
      </c>
      <c r="O6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1901.67</v>
      </c>
      <c r="P64" s="12" t="s">
        <v>36</v>
      </c>
      <c r="Q64" s="12" t="s">
        <v>119</v>
      </c>
      <c r="R64" s="13" t="s">
        <v>75</v>
      </c>
      <c r="S64" s="18" t="s">
        <v>46</v>
      </c>
      <c r="T64" s="12" t="s">
        <v>71</v>
      </c>
      <c r="U64" s="12" t="s">
        <v>47</v>
      </c>
      <c r="V64" s="19"/>
      <c r="W64" s="12"/>
      <c r="X64" s="20" t="s">
        <v>41</v>
      </c>
      <c r="Y64" s="25" t="str">
        <f>VLOOKUP(Таблица2[[#This Row],[Номер заказа]],[1]!Таблица1[#Data],MATCH("Поставщик",[1]!Таблица1[#Headers],0),FALSE)</f>
        <v>ДЕЛОВЫЕ ЛИНИИ ООО</v>
      </c>
      <c r="Z64" s="26" t="s">
        <v>71</v>
      </c>
      <c r="AA64" s="27">
        <f>VLOOKUP(Таблица2[[#This Row],[Номер заказа]],[1]!Таблица1[#Data],MATCH("Дата",[1]!Таблица1[#Headers],0),FALSE)+0</f>
        <v>45636</v>
      </c>
      <c r="AB64" s="28" t="str">
        <f>VLOOKUP(Таблица2[[#This Row],[Номер заказа]],[1]!Таблица1[#Data],MATCH("Валюта",[1]!Таблица1[#Headers],0),FALSE)</f>
        <v>руб.</v>
      </c>
      <c r="AC6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5" spans="1:29" ht="14.25" customHeight="1" x14ac:dyDescent="0.2">
      <c r="A65" s="10" t="s">
        <v>156</v>
      </c>
      <c r="B65" s="11">
        <v>2</v>
      </c>
      <c r="C65" s="12"/>
      <c r="D65" s="13" t="s">
        <v>97</v>
      </c>
      <c r="E65" s="12"/>
      <c r="F65" s="14">
        <v>1</v>
      </c>
      <c r="G65" s="12"/>
      <c r="H65" s="15" t="s">
        <v>35</v>
      </c>
      <c r="I65" s="12"/>
      <c r="J65" s="16">
        <v>15</v>
      </c>
      <c r="K65" s="16">
        <v>15</v>
      </c>
      <c r="L65" s="17">
        <v>0.2</v>
      </c>
      <c r="M65" s="16">
        <v>2.5</v>
      </c>
      <c r="N65" s="16">
        <v>15</v>
      </c>
      <c r="O6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65" s="12" t="s">
        <v>36</v>
      </c>
      <c r="Q65" s="12" t="s">
        <v>119</v>
      </c>
      <c r="R65" s="13" t="s">
        <v>75</v>
      </c>
      <c r="S65" s="18" t="s">
        <v>46</v>
      </c>
      <c r="T65" s="12" t="s">
        <v>71</v>
      </c>
      <c r="U65" s="12" t="s">
        <v>47</v>
      </c>
      <c r="V65" s="19"/>
      <c r="W65" s="12"/>
      <c r="X65" s="20" t="s">
        <v>41</v>
      </c>
      <c r="Y65" s="25" t="str">
        <f>VLOOKUP(Таблица2[[#This Row],[Номер заказа]],[1]!Таблица1[#Data],MATCH("Поставщик",[1]!Таблица1[#Headers],0),FALSE)</f>
        <v>ДЕЛОВЫЕ ЛИНИИ ООО</v>
      </c>
      <c r="Z65" s="26" t="s">
        <v>71</v>
      </c>
      <c r="AA65" s="27">
        <f>VLOOKUP(Таблица2[[#This Row],[Номер заказа]],[1]!Таблица1[#Data],MATCH("Дата",[1]!Таблица1[#Headers],0),FALSE)+0</f>
        <v>45636</v>
      </c>
      <c r="AB65" s="28" t="str">
        <f>VLOOKUP(Таблица2[[#This Row],[Номер заказа]],[1]!Таблица1[#Data],MATCH("Валюта",[1]!Таблица1[#Headers],0),FALSE)</f>
        <v>руб.</v>
      </c>
      <c r="AC6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6" spans="1:29" ht="14.25" customHeight="1" x14ac:dyDescent="0.2">
      <c r="A66" s="10" t="s">
        <v>156</v>
      </c>
      <c r="B66" s="11">
        <v>3</v>
      </c>
      <c r="C66" s="12"/>
      <c r="D66" s="13" t="s">
        <v>157</v>
      </c>
      <c r="E66" s="12"/>
      <c r="F66" s="14">
        <v>1</v>
      </c>
      <c r="G66" s="12"/>
      <c r="H66" s="15" t="s">
        <v>35</v>
      </c>
      <c r="I66" s="12"/>
      <c r="J66" s="16">
        <v>100</v>
      </c>
      <c r="K66" s="16">
        <v>100</v>
      </c>
      <c r="L66" s="17">
        <v>0.2</v>
      </c>
      <c r="M66" s="16">
        <v>16.670000000000002</v>
      </c>
      <c r="N66" s="16">
        <v>100</v>
      </c>
      <c r="O6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83.33</v>
      </c>
      <c r="P66" s="12" t="s">
        <v>36</v>
      </c>
      <c r="Q66" s="12" t="s">
        <v>119</v>
      </c>
      <c r="R66" s="13" t="s">
        <v>75</v>
      </c>
      <c r="S66" s="18" t="s">
        <v>46</v>
      </c>
      <c r="T66" s="12" t="s">
        <v>71</v>
      </c>
      <c r="U66" s="12" t="s">
        <v>47</v>
      </c>
      <c r="V66" s="19"/>
      <c r="W66" s="12"/>
      <c r="X66" s="20" t="s">
        <v>41</v>
      </c>
      <c r="Y66" s="25" t="str">
        <f>VLOOKUP(Таблица2[[#This Row],[Номер заказа]],[1]!Таблица1[#Data],MATCH("Поставщик",[1]!Таблица1[#Headers],0),FALSE)</f>
        <v>ДЕЛОВЫЕ ЛИНИИ ООО</v>
      </c>
      <c r="Z66" s="26" t="s">
        <v>71</v>
      </c>
      <c r="AA66" s="27">
        <f>VLOOKUP(Таблица2[[#This Row],[Номер заказа]],[1]!Таблица1[#Data],MATCH("Дата",[1]!Таблица1[#Headers],0),FALSE)+0</f>
        <v>45636</v>
      </c>
      <c r="AB66" s="28" t="str">
        <f>VLOOKUP(Таблица2[[#This Row],[Номер заказа]],[1]!Таблица1[#Data],MATCH("Валюта",[1]!Таблица1[#Headers],0),FALSE)</f>
        <v>руб.</v>
      </c>
      <c r="AC6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7" spans="1:29" ht="14.25" customHeight="1" x14ac:dyDescent="0.2">
      <c r="A67" s="10" t="s">
        <v>156</v>
      </c>
      <c r="B67" s="11">
        <v>4</v>
      </c>
      <c r="C67" s="12"/>
      <c r="D67" s="13" t="s">
        <v>78</v>
      </c>
      <c r="E67" s="12"/>
      <c r="F67" s="14">
        <v>1</v>
      </c>
      <c r="G67" s="12"/>
      <c r="H67" s="15" t="s">
        <v>35</v>
      </c>
      <c r="I67" s="12"/>
      <c r="J67" s="16">
        <v>403</v>
      </c>
      <c r="K67" s="16">
        <v>403</v>
      </c>
      <c r="L67" s="17">
        <v>0</v>
      </c>
      <c r="M67" s="16"/>
      <c r="N67" s="16">
        <v>403</v>
      </c>
      <c r="O6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403</v>
      </c>
      <c r="P67" s="12" t="s">
        <v>36</v>
      </c>
      <c r="Q67" s="12" t="s">
        <v>119</v>
      </c>
      <c r="R67" s="13" t="s">
        <v>75</v>
      </c>
      <c r="S67" s="18" t="s">
        <v>46</v>
      </c>
      <c r="T67" s="12" t="s">
        <v>71</v>
      </c>
      <c r="U67" s="12" t="s">
        <v>47</v>
      </c>
      <c r="V67" s="19"/>
      <c r="W67" s="12"/>
      <c r="X67" s="20" t="s">
        <v>41</v>
      </c>
      <c r="Y67" s="25" t="str">
        <f>VLOOKUP(Таблица2[[#This Row],[Номер заказа]],[1]!Таблица1[#Data],MATCH("Поставщик",[1]!Таблица1[#Headers],0),FALSE)</f>
        <v>ДЕЛОВЫЕ ЛИНИИ ООО</v>
      </c>
      <c r="Z67" s="26" t="s">
        <v>71</v>
      </c>
      <c r="AA67" s="27">
        <f>VLOOKUP(Таблица2[[#This Row],[Номер заказа]],[1]!Таблица1[#Data],MATCH("Дата",[1]!Таблица1[#Headers],0),FALSE)+0</f>
        <v>45636</v>
      </c>
      <c r="AB67" s="28" t="str">
        <f>VLOOKUP(Таблица2[[#This Row],[Номер заказа]],[1]!Таблица1[#Data],MATCH("Валюта",[1]!Таблица1[#Headers],0),FALSE)</f>
        <v>руб.</v>
      </c>
      <c r="AC6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8" spans="1:29" ht="14.25" customHeight="1" x14ac:dyDescent="0.2">
      <c r="A68" s="10" t="s">
        <v>158</v>
      </c>
      <c r="B68" s="11">
        <v>1</v>
      </c>
      <c r="C68" s="12"/>
      <c r="D68" s="13" t="s">
        <v>134</v>
      </c>
      <c r="E68" s="12"/>
      <c r="F68" s="14">
        <v>1</v>
      </c>
      <c r="G68" s="12"/>
      <c r="H68" s="15" t="s">
        <v>35</v>
      </c>
      <c r="I68" s="12"/>
      <c r="J68" s="16">
        <v>871</v>
      </c>
      <c r="K68" s="16">
        <v>871</v>
      </c>
      <c r="L68" s="17">
        <v>0.2</v>
      </c>
      <c r="M68" s="16">
        <v>145.16999999999999</v>
      </c>
      <c r="N68" s="16">
        <v>871</v>
      </c>
      <c r="O6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725.83</v>
      </c>
      <c r="P68" s="12"/>
      <c r="Q68" s="12" t="s">
        <v>95</v>
      </c>
      <c r="R68" s="13" t="s">
        <v>75</v>
      </c>
      <c r="S68" s="18" t="s">
        <v>46</v>
      </c>
      <c r="T68" s="12" t="s">
        <v>71</v>
      </c>
      <c r="U68" s="12" t="s">
        <v>47</v>
      </c>
      <c r="V68" s="19"/>
      <c r="W68" s="12"/>
      <c r="X68" s="20" t="s">
        <v>41</v>
      </c>
      <c r="Y68" s="25" t="str">
        <f>VLOOKUP(Таблица2[[#This Row],[Номер заказа]],[1]!Таблица1[#Data],MATCH("Поставщик",[1]!Таблица1[#Headers],0),FALSE)</f>
        <v>ДЕЛОВЫЕ ЛИНИИ ООО</v>
      </c>
      <c r="Z68" s="26" t="s">
        <v>71</v>
      </c>
      <c r="AA68" s="27">
        <f>VLOOKUP(Таблица2[[#This Row],[Номер заказа]],[1]!Таблица1[#Data],MATCH("Дата",[1]!Таблица1[#Headers],0),FALSE)+0</f>
        <v>45642</v>
      </c>
      <c r="AB68" s="28" t="str">
        <f>VLOOKUP(Таблица2[[#This Row],[Номер заказа]],[1]!Таблица1[#Data],MATCH("Валюта",[1]!Таблица1[#Headers],0),FALSE)</f>
        <v>руб.</v>
      </c>
      <c r="AC6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69" spans="1:29" ht="14.25" customHeight="1" x14ac:dyDescent="0.2">
      <c r="A69" s="10" t="s">
        <v>158</v>
      </c>
      <c r="B69" s="11">
        <v>2</v>
      </c>
      <c r="C69" s="12"/>
      <c r="D69" s="13" t="s">
        <v>97</v>
      </c>
      <c r="E69" s="12"/>
      <c r="F69" s="14">
        <v>1</v>
      </c>
      <c r="G69" s="12"/>
      <c r="H69" s="15" t="s">
        <v>35</v>
      </c>
      <c r="I69" s="12"/>
      <c r="J69" s="16">
        <v>15</v>
      </c>
      <c r="K69" s="16">
        <v>15</v>
      </c>
      <c r="L69" s="17">
        <v>0.2</v>
      </c>
      <c r="M69" s="16">
        <v>2.5</v>
      </c>
      <c r="N69" s="16">
        <v>15</v>
      </c>
      <c r="O6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69" s="12" t="s">
        <v>36</v>
      </c>
      <c r="Q69" s="12" t="s">
        <v>95</v>
      </c>
      <c r="R69" s="13" t="s">
        <v>75</v>
      </c>
      <c r="S69" s="18" t="s">
        <v>46</v>
      </c>
      <c r="T69" s="12" t="s">
        <v>71</v>
      </c>
      <c r="U69" s="12" t="s">
        <v>47</v>
      </c>
      <c r="V69" s="19"/>
      <c r="W69" s="12"/>
      <c r="X69" s="20" t="s">
        <v>41</v>
      </c>
      <c r="Y69" s="25" t="str">
        <f>VLOOKUP(Таблица2[[#This Row],[Номер заказа]],[1]!Таблица1[#Data],MATCH("Поставщик",[1]!Таблица1[#Headers],0),FALSE)</f>
        <v>ДЕЛОВЫЕ ЛИНИИ ООО</v>
      </c>
      <c r="Z69" s="26" t="s">
        <v>71</v>
      </c>
      <c r="AA69" s="27">
        <f>VLOOKUP(Таблица2[[#This Row],[Номер заказа]],[1]!Таблица1[#Data],MATCH("Дата",[1]!Таблица1[#Headers],0),FALSE)+0</f>
        <v>45642</v>
      </c>
      <c r="AB69" s="28" t="str">
        <f>VLOOKUP(Таблица2[[#This Row],[Номер заказа]],[1]!Таблица1[#Data],MATCH("Валюта",[1]!Таблица1[#Headers],0),FALSE)</f>
        <v>руб.</v>
      </c>
      <c r="AC6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0" spans="1:29" ht="14.25" customHeight="1" x14ac:dyDescent="0.2">
      <c r="A70" s="10" t="s">
        <v>158</v>
      </c>
      <c r="B70" s="11">
        <v>3</v>
      </c>
      <c r="C70" s="12"/>
      <c r="D70" s="13" t="s">
        <v>78</v>
      </c>
      <c r="E70" s="13" t="s">
        <v>153</v>
      </c>
      <c r="F70" s="14">
        <v>1</v>
      </c>
      <c r="G70" s="12"/>
      <c r="H70" s="15" t="s">
        <v>35</v>
      </c>
      <c r="I70" s="12"/>
      <c r="J70" s="16">
        <v>135</v>
      </c>
      <c r="K70" s="16">
        <v>135</v>
      </c>
      <c r="L70" s="17">
        <v>0</v>
      </c>
      <c r="M70" s="16"/>
      <c r="N70" s="16">
        <v>135</v>
      </c>
      <c r="O7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135</v>
      </c>
      <c r="P70" s="12" t="s">
        <v>36</v>
      </c>
      <c r="Q70" s="12" t="s">
        <v>95</v>
      </c>
      <c r="R70" s="13" t="s">
        <v>75</v>
      </c>
      <c r="S70" s="18" t="s">
        <v>46</v>
      </c>
      <c r="T70" s="12" t="s">
        <v>71</v>
      </c>
      <c r="U70" s="12" t="s">
        <v>47</v>
      </c>
      <c r="V70" s="19"/>
      <c r="W70" s="12"/>
      <c r="X70" s="20" t="s">
        <v>41</v>
      </c>
      <c r="Y70" s="25" t="str">
        <f>VLOOKUP(Таблица2[[#This Row],[Номер заказа]],[1]!Таблица1[#Data],MATCH("Поставщик",[1]!Таблица1[#Headers],0),FALSE)</f>
        <v>ДЕЛОВЫЕ ЛИНИИ ООО</v>
      </c>
      <c r="Z70" s="26" t="s">
        <v>71</v>
      </c>
      <c r="AA70" s="27">
        <f>VLOOKUP(Таблица2[[#This Row],[Номер заказа]],[1]!Таблица1[#Data],MATCH("Дата",[1]!Таблица1[#Headers],0),FALSE)+0</f>
        <v>45642</v>
      </c>
      <c r="AB70" s="28" t="str">
        <f>VLOOKUP(Таблица2[[#This Row],[Номер заказа]],[1]!Таблица1[#Data],MATCH("Валюта",[1]!Таблица1[#Headers],0),FALSE)</f>
        <v>руб.</v>
      </c>
      <c r="AC7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1" spans="1:29" ht="14.25" customHeight="1" x14ac:dyDescent="0.2">
      <c r="A71" s="10" t="s">
        <v>159</v>
      </c>
      <c r="B71" s="11">
        <v>1</v>
      </c>
      <c r="C71" s="12"/>
      <c r="D71" s="13" t="s">
        <v>134</v>
      </c>
      <c r="E71" s="12"/>
      <c r="F71" s="14">
        <v>1</v>
      </c>
      <c r="G71" s="12"/>
      <c r="H71" s="15" t="s">
        <v>35</v>
      </c>
      <c r="I71" s="12"/>
      <c r="J71" s="16">
        <v>249</v>
      </c>
      <c r="K71" s="16">
        <v>249</v>
      </c>
      <c r="L71" s="17">
        <v>0.2</v>
      </c>
      <c r="M71" s="16">
        <v>41.5</v>
      </c>
      <c r="N71" s="16">
        <v>249</v>
      </c>
      <c r="O7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207.5</v>
      </c>
      <c r="P71" s="12"/>
      <c r="Q71" s="12" t="s">
        <v>95</v>
      </c>
      <c r="R71" s="13" t="s">
        <v>75</v>
      </c>
      <c r="S71" s="18" t="s">
        <v>46</v>
      </c>
      <c r="T71" s="12" t="s">
        <v>71</v>
      </c>
      <c r="U71" s="12" t="s">
        <v>47</v>
      </c>
      <c r="V71" s="19"/>
      <c r="W71" s="12"/>
      <c r="X71" s="20" t="s">
        <v>41</v>
      </c>
      <c r="Y71" s="25" t="str">
        <f>VLOOKUP(Таблица2[[#This Row],[Номер заказа]],[1]!Таблица1[#Data],MATCH("Поставщик",[1]!Таблица1[#Headers],0),FALSE)</f>
        <v>ДЕЛОВЫЕ ЛИНИИ ООО</v>
      </c>
      <c r="Z71" s="26" t="s">
        <v>71</v>
      </c>
      <c r="AA71" s="27">
        <f>VLOOKUP(Таблица2[[#This Row],[Номер заказа]],[1]!Таблица1[#Data],MATCH("Дата",[1]!Таблица1[#Headers],0),FALSE)+0</f>
        <v>45644</v>
      </c>
      <c r="AB71" s="28" t="str">
        <f>VLOOKUP(Таблица2[[#This Row],[Номер заказа]],[1]!Таблица1[#Data],MATCH("Валюта",[1]!Таблица1[#Headers],0),FALSE)</f>
        <v>руб.</v>
      </c>
      <c r="AC7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2" spans="1:29" ht="14.25" customHeight="1" x14ac:dyDescent="0.2">
      <c r="A72" s="10" t="s">
        <v>159</v>
      </c>
      <c r="B72" s="11">
        <v>2</v>
      </c>
      <c r="C72" s="12"/>
      <c r="D72" s="13" t="s">
        <v>78</v>
      </c>
      <c r="E72" s="12"/>
      <c r="F72" s="14">
        <v>1</v>
      </c>
      <c r="G72" s="12"/>
      <c r="H72" s="15" t="s">
        <v>35</v>
      </c>
      <c r="I72" s="12"/>
      <c r="J72" s="16">
        <v>30</v>
      </c>
      <c r="K72" s="16">
        <v>30</v>
      </c>
      <c r="L72" s="17">
        <v>0</v>
      </c>
      <c r="M72" s="16"/>
      <c r="N72" s="16">
        <v>30</v>
      </c>
      <c r="O7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</v>
      </c>
      <c r="P72" s="12"/>
      <c r="Q72" s="12" t="s">
        <v>95</v>
      </c>
      <c r="R72" s="13" t="s">
        <v>75</v>
      </c>
      <c r="S72" s="18" t="s">
        <v>46</v>
      </c>
      <c r="T72" s="12" t="s">
        <v>71</v>
      </c>
      <c r="U72" s="12" t="s">
        <v>47</v>
      </c>
      <c r="V72" s="19"/>
      <c r="W72" s="12"/>
      <c r="X72" s="20" t="s">
        <v>41</v>
      </c>
      <c r="Y72" s="25" t="str">
        <f>VLOOKUP(Таблица2[[#This Row],[Номер заказа]],[1]!Таблица1[#Data],MATCH("Поставщик",[1]!Таблица1[#Headers],0),FALSE)</f>
        <v>ДЕЛОВЫЕ ЛИНИИ ООО</v>
      </c>
      <c r="Z72" s="26" t="s">
        <v>71</v>
      </c>
      <c r="AA72" s="27">
        <f>VLOOKUP(Таблица2[[#This Row],[Номер заказа]],[1]!Таблица1[#Data],MATCH("Дата",[1]!Таблица1[#Headers],0),FALSE)+0</f>
        <v>45644</v>
      </c>
      <c r="AB72" s="28" t="str">
        <f>VLOOKUP(Таблица2[[#This Row],[Номер заказа]],[1]!Таблица1[#Data],MATCH("Валюта",[1]!Таблица1[#Headers],0),FALSE)</f>
        <v>руб.</v>
      </c>
      <c r="AC7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3" spans="1:29" ht="14.25" customHeight="1" x14ac:dyDescent="0.2">
      <c r="A73" s="10" t="s">
        <v>160</v>
      </c>
      <c r="B73" s="11">
        <v>1</v>
      </c>
      <c r="C73" s="12"/>
      <c r="D73" s="13" t="s">
        <v>134</v>
      </c>
      <c r="E73" s="12"/>
      <c r="F73" s="14">
        <v>1</v>
      </c>
      <c r="G73" s="12"/>
      <c r="H73" s="15" t="s">
        <v>35</v>
      </c>
      <c r="I73" s="12"/>
      <c r="J73" s="16">
        <v>1658</v>
      </c>
      <c r="K73" s="16">
        <v>1658</v>
      </c>
      <c r="L73" s="17">
        <v>0.2</v>
      </c>
      <c r="M73" s="16">
        <v>276.33</v>
      </c>
      <c r="N73" s="16">
        <v>1658</v>
      </c>
      <c r="O7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1381.67</v>
      </c>
      <c r="P73" s="12" t="s">
        <v>36</v>
      </c>
      <c r="Q73" s="12" t="s">
        <v>119</v>
      </c>
      <c r="R73" s="13" t="s">
        <v>75</v>
      </c>
      <c r="S73" s="18" t="s">
        <v>46</v>
      </c>
      <c r="T73" s="12" t="s">
        <v>71</v>
      </c>
      <c r="U73" s="12" t="s">
        <v>47</v>
      </c>
      <c r="V73" s="19"/>
      <c r="W73" s="12"/>
      <c r="X73" s="20" t="s">
        <v>41</v>
      </c>
      <c r="Y73" s="25" t="str">
        <f>VLOOKUP(Таблица2[[#This Row],[Номер заказа]],[1]!Таблица1[#Data],MATCH("Поставщик",[1]!Таблица1[#Headers],0),FALSE)</f>
        <v>ДЕЛОВЫЕ ЛИНИИ ООО</v>
      </c>
      <c r="Z73" s="26" t="s">
        <v>71</v>
      </c>
      <c r="AA73" s="27">
        <f>VLOOKUP(Таблица2[[#This Row],[Номер заказа]],[1]!Таблица1[#Data],MATCH("Дата",[1]!Таблица1[#Headers],0),FALSE)+0</f>
        <v>45644</v>
      </c>
      <c r="AB73" s="28" t="str">
        <f>VLOOKUP(Таблица2[[#This Row],[Номер заказа]],[1]!Таблица1[#Data],MATCH("Валюта",[1]!Таблица1[#Headers],0),FALSE)</f>
        <v>руб.</v>
      </c>
      <c r="AC7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4" spans="1:29" ht="14.25" customHeight="1" x14ac:dyDescent="0.2">
      <c r="A74" s="10" t="s">
        <v>160</v>
      </c>
      <c r="B74" s="11">
        <v>2</v>
      </c>
      <c r="C74" s="12"/>
      <c r="D74" s="13" t="s">
        <v>161</v>
      </c>
      <c r="E74" s="12"/>
      <c r="F74" s="14">
        <v>1</v>
      </c>
      <c r="G74" s="12"/>
      <c r="H74" s="15" t="s">
        <v>35</v>
      </c>
      <c r="I74" s="12"/>
      <c r="J74" s="16">
        <v>480</v>
      </c>
      <c r="K74" s="16">
        <v>480</v>
      </c>
      <c r="L74" s="17">
        <v>0.2</v>
      </c>
      <c r="M74" s="16">
        <v>80</v>
      </c>
      <c r="N74" s="16">
        <v>480</v>
      </c>
      <c r="O7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400</v>
      </c>
      <c r="P74" s="12"/>
      <c r="Q74" s="12" t="s">
        <v>119</v>
      </c>
      <c r="R74" s="13" t="s">
        <v>75</v>
      </c>
      <c r="S74" s="18" t="s">
        <v>46</v>
      </c>
      <c r="T74" s="12" t="s">
        <v>71</v>
      </c>
      <c r="U74" s="12" t="s">
        <v>47</v>
      </c>
      <c r="V74" s="19"/>
      <c r="W74" s="12"/>
      <c r="X74" s="20" t="s">
        <v>41</v>
      </c>
      <c r="Y74" s="25" t="str">
        <f>VLOOKUP(Таблица2[[#This Row],[Номер заказа]],[1]!Таблица1[#Data],MATCH("Поставщик",[1]!Таблица1[#Headers],0),FALSE)</f>
        <v>ДЕЛОВЫЕ ЛИНИИ ООО</v>
      </c>
      <c r="Z74" s="26" t="s">
        <v>71</v>
      </c>
      <c r="AA74" s="27">
        <f>VLOOKUP(Таблица2[[#This Row],[Номер заказа]],[1]!Таблица1[#Data],MATCH("Дата",[1]!Таблица1[#Headers],0),FALSE)+0</f>
        <v>45644</v>
      </c>
      <c r="AB74" s="28" t="str">
        <f>VLOOKUP(Таблица2[[#This Row],[Номер заказа]],[1]!Таблица1[#Data],MATCH("Валюта",[1]!Таблица1[#Headers],0),FALSE)</f>
        <v>руб.</v>
      </c>
      <c r="AC7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5" spans="1:29" ht="14.25" customHeight="1" x14ac:dyDescent="0.2">
      <c r="A75" s="10" t="s">
        <v>160</v>
      </c>
      <c r="B75" s="11">
        <v>3</v>
      </c>
      <c r="C75" s="12"/>
      <c r="D75" s="13" t="s">
        <v>97</v>
      </c>
      <c r="E75" s="12"/>
      <c r="F75" s="14">
        <v>1</v>
      </c>
      <c r="G75" s="12"/>
      <c r="H75" s="15" t="s">
        <v>35</v>
      </c>
      <c r="I75" s="12"/>
      <c r="J75" s="16">
        <v>15</v>
      </c>
      <c r="K75" s="16">
        <v>15</v>
      </c>
      <c r="L75" s="17">
        <v>0.2</v>
      </c>
      <c r="M75" s="16">
        <v>2.5</v>
      </c>
      <c r="N75" s="16">
        <v>15</v>
      </c>
      <c r="O7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12.5</v>
      </c>
      <c r="P75" s="12" t="s">
        <v>36</v>
      </c>
      <c r="Q75" s="12" t="s">
        <v>119</v>
      </c>
      <c r="R75" s="13" t="s">
        <v>75</v>
      </c>
      <c r="S75" s="18" t="s">
        <v>46</v>
      </c>
      <c r="T75" s="12" t="s">
        <v>71</v>
      </c>
      <c r="U75" s="12" t="s">
        <v>47</v>
      </c>
      <c r="V75" s="19"/>
      <c r="W75" s="12"/>
      <c r="X75" s="20" t="s">
        <v>41</v>
      </c>
      <c r="Y75" s="25" t="str">
        <f>VLOOKUP(Таблица2[[#This Row],[Номер заказа]],[1]!Таблица1[#Data],MATCH("Поставщик",[1]!Таблица1[#Headers],0),FALSE)</f>
        <v>ДЕЛОВЫЕ ЛИНИИ ООО</v>
      </c>
      <c r="Z75" s="26" t="s">
        <v>71</v>
      </c>
      <c r="AA75" s="27">
        <f>VLOOKUP(Таблица2[[#This Row],[Номер заказа]],[1]!Таблица1[#Data],MATCH("Дата",[1]!Таблица1[#Headers],0),FALSE)+0</f>
        <v>45644</v>
      </c>
      <c r="AB75" s="28" t="str">
        <f>VLOOKUP(Таблица2[[#This Row],[Номер заказа]],[1]!Таблица1[#Data],MATCH("Валюта",[1]!Таблица1[#Headers],0),FALSE)</f>
        <v>руб.</v>
      </c>
      <c r="AC7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6" spans="1:29" ht="14.25" customHeight="1" x14ac:dyDescent="0.2">
      <c r="A76" s="10" t="s">
        <v>160</v>
      </c>
      <c r="B76" s="11">
        <v>4</v>
      </c>
      <c r="C76" s="12"/>
      <c r="D76" s="13" t="s">
        <v>78</v>
      </c>
      <c r="E76" s="12"/>
      <c r="F76" s="14">
        <v>1</v>
      </c>
      <c r="G76" s="12"/>
      <c r="H76" s="15" t="s">
        <v>35</v>
      </c>
      <c r="I76" s="12"/>
      <c r="J76" s="16">
        <v>403</v>
      </c>
      <c r="K76" s="16">
        <v>403</v>
      </c>
      <c r="L76" s="17">
        <v>0</v>
      </c>
      <c r="M76" s="16"/>
      <c r="N76" s="16">
        <v>403</v>
      </c>
      <c r="O7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403</v>
      </c>
      <c r="P76" s="12" t="s">
        <v>36</v>
      </c>
      <c r="Q76" s="12" t="s">
        <v>119</v>
      </c>
      <c r="R76" s="13" t="s">
        <v>75</v>
      </c>
      <c r="S76" s="18" t="s">
        <v>46</v>
      </c>
      <c r="T76" s="12" t="s">
        <v>71</v>
      </c>
      <c r="U76" s="12" t="s">
        <v>47</v>
      </c>
      <c r="V76" s="19"/>
      <c r="W76" s="12"/>
      <c r="X76" s="20" t="s">
        <v>41</v>
      </c>
      <c r="Y76" s="25" t="str">
        <f>VLOOKUP(Таблица2[[#This Row],[Номер заказа]],[1]!Таблица1[#Data],MATCH("Поставщик",[1]!Таблица1[#Headers],0),FALSE)</f>
        <v>ДЕЛОВЫЕ ЛИНИИ ООО</v>
      </c>
      <c r="Z76" s="26" t="s">
        <v>71</v>
      </c>
      <c r="AA76" s="27">
        <f>VLOOKUP(Таблица2[[#This Row],[Номер заказа]],[1]!Таблица1[#Data],MATCH("Дата",[1]!Таблица1[#Headers],0),FALSE)+0</f>
        <v>45644</v>
      </c>
      <c r="AB76" s="28" t="str">
        <f>VLOOKUP(Таблица2[[#This Row],[Номер заказа]],[1]!Таблица1[#Data],MATCH("Валюта",[1]!Таблица1[#Headers],0),FALSE)</f>
        <v>руб.</v>
      </c>
      <c r="AC7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7" spans="1:29" ht="14.25" customHeight="1" x14ac:dyDescent="0.2">
      <c r="A77" s="10" t="s">
        <v>162</v>
      </c>
      <c r="B77" s="11">
        <v>1</v>
      </c>
      <c r="C77" s="12"/>
      <c r="D77" s="13" t="s">
        <v>74</v>
      </c>
      <c r="E77" s="12"/>
      <c r="F77" s="14">
        <v>1</v>
      </c>
      <c r="G77" s="12"/>
      <c r="H77" s="15" t="s">
        <v>35</v>
      </c>
      <c r="I77" s="12"/>
      <c r="J77" s="16">
        <v>18047</v>
      </c>
      <c r="K77" s="16">
        <v>18047</v>
      </c>
      <c r="L77" s="17">
        <v>0</v>
      </c>
      <c r="M77" s="16"/>
      <c r="N77" s="16">
        <v>18047</v>
      </c>
      <c r="O7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18047</v>
      </c>
      <c r="P77" s="12" t="s">
        <v>36</v>
      </c>
      <c r="Q77" s="12" t="s">
        <v>37</v>
      </c>
      <c r="R77" s="13" t="s">
        <v>75</v>
      </c>
      <c r="S77" s="18" t="s">
        <v>46</v>
      </c>
      <c r="T77" s="12" t="s">
        <v>71</v>
      </c>
      <c r="U77" s="12" t="s">
        <v>47</v>
      </c>
      <c r="V77" s="19"/>
      <c r="W77" s="12"/>
      <c r="X77" s="20" t="s">
        <v>41</v>
      </c>
      <c r="Y77" s="25" t="str">
        <f>VLOOKUP(Таблица2[[#This Row],[Номер заказа]],[1]!Таблица1[#Data],MATCH("Поставщик",[1]!Таблица1[#Headers],0),FALSE)</f>
        <v>ЖЕЛДОРЭКСПЕДИЦИЯ ООО</v>
      </c>
      <c r="Z77" s="26" t="s">
        <v>71</v>
      </c>
      <c r="AA77" s="27">
        <f>VLOOKUP(Таблица2[[#This Row],[Номер заказа]],[1]!Таблица1[#Data],MATCH("Дата",[1]!Таблица1[#Headers],0),FALSE)+0</f>
        <v>45672</v>
      </c>
      <c r="AB77" s="28" t="str">
        <f>VLOOKUP(Таблица2[[#This Row],[Номер заказа]],[1]!Таблица1[#Data],MATCH("Валюта",[1]!Таблица1[#Headers],0),FALSE)</f>
        <v>руб.</v>
      </c>
      <c r="AC7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8" spans="1:29" ht="14.25" customHeight="1" x14ac:dyDescent="0.2">
      <c r="A78" s="10" t="s">
        <v>162</v>
      </c>
      <c r="B78" s="11">
        <v>2</v>
      </c>
      <c r="C78" s="12"/>
      <c r="D78" s="13" t="s">
        <v>74</v>
      </c>
      <c r="E78" s="12"/>
      <c r="F78" s="14">
        <v>1</v>
      </c>
      <c r="G78" s="12"/>
      <c r="H78" s="15" t="s">
        <v>35</v>
      </c>
      <c r="I78" s="12"/>
      <c r="J78" s="16">
        <v>2500</v>
      </c>
      <c r="K78" s="16">
        <v>2500</v>
      </c>
      <c r="L78" s="17">
        <v>0</v>
      </c>
      <c r="M78" s="16"/>
      <c r="N78" s="16">
        <v>2500</v>
      </c>
      <c r="O7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2500</v>
      </c>
      <c r="P78" s="12" t="s">
        <v>36</v>
      </c>
      <c r="Q78" s="12" t="s">
        <v>37</v>
      </c>
      <c r="R78" s="13" t="s">
        <v>75</v>
      </c>
      <c r="S78" s="18" t="s">
        <v>46</v>
      </c>
      <c r="T78" s="12" t="s">
        <v>71</v>
      </c>
      <c r="U78" s="12" t="s">
        <v>47</v>
      </c>
      <c r="V78" s="19"/>
      <c r="W78" s="12"/>
      <c r="X78" s="20" t="s">
        <v>41</v>
      </c>
      <c r="Y78" s="25" t="str">
        <f>VLOOKUP(Таблица2[[#This Row],[Номер заказа]],[1]!Таблица1[#Data],MATCH("Поставщик",[1]!Таблица1[#Headers],0),FALSE)</f>
        <v>ЖЕЛДОРЭКСПЕДИЦИЯ ООО</v>
      </c>
      <c r="Z78" s="26" t="s">
        <v>71</v>
      </c>
      <c r="AA78" s="27">
        <f>VLOOKUP(Таблица2[[#This Row],[Номер заказа]],[1]!Таблица1[#Data],MATCH("Дата",[1]!Таблица1[#Headers],0),FALSE)+0</f>
        <v>45672</v>
      </c>
      <c r="AB78" s="28" t="str">
        <f>VLOOKUP(Таблица2[[#This Row],[Номер заказа]],[1]!Таблица1[#Data],MATCH("Валюта",[1]!Таблица1[#Headers],0),FALSE)</f>
        <v>руб.</v>
      </c>
      <c r="AC7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79" spans="1:29" ht="14.25" customHeight="1" x14ac:dyDescent="0.2">
      <c r="A79" s="10" t="s">
        <v>162</v>
      </c>
      <c r="B79" s="11">
        <v>3</v>
      </c>
      <c r="C79" s="12"/>
      <c r="D79" s="13" t="s">
        <v>74</v>
      </c>
      <c r="E79" s="12"/>
      <c r="F79" s="14">
        <v>1</v>
      </c>
      <c r="G79" s="12"/>
      <c r="H79" s="15" t="s">
        <v>35</v>
      </c>
      <c r="I79" s="12"/>
      <c r="J79" s="16">
        <v>250</v>
      </c>
      <c r="K79" s="16">
        <v>250</v>
      </c>
      <c r="L79" s="17">
        <v>0</v>
      </c>
      <c r="M79" s="16"/>
      <c r="N79" s="16">
        <v>250</v>
      </c>
      <c r="O7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250</v>
      </c>
      <c r="P79" s="12" t="s">
        <v>36</v>
      </c>
      <c r="Q79" s="12" t="s">
        <v>37</v>
      </c>
      <c r="R79" s="13" t="s">
        <v>75</v>
      </c>
      <c r="S79" s="18" t="s">
        <v>46</v>
      </c>
      <c r="T79" s="12" t="s">
        <v>71</v>
      </c>
      <c r="U79" s="12" t="s">
        <v>47</v>
      </c>
      <c r="V79" s="19"/>
      <c r="W79" s="12"/>
      <c r="X79" s="20" t="s">
        <v>41</v>
      </c>
      <c r="Y79" s="25" t="str">
        <f>VLOOKUP(Таблица2[[#This Row],[Номер заказа]],[1]!Таблица1[#Data],MATCH("Поставщик",[1]!Таблица1[#Headers],0),FALSE)</f>
        <v>ЖЕЛДОРЭКСПЕДИЦИЯ ООО</v>
      </c>
      <c r="Z79" s="26" t="s">
        <v>71</v>
      </c>
      <c r="AA79" s="27">
        <f>VLOOKUP(Таблица2[[#This Row],[Номер заказа]],[1]!Таблица1[#Data],MATCH("Дата",[1]!Таблица1[#Headers],0),FALSE)+0</f>
        <v>45672</v>
      </c>
      <c r="AB79" s="28" t="str">
        <f>VLOOKUP(Таблица2[[#This Row],[Номер заказа]],[1]!Таблица1[#Data],MATCH("Валюта",[1]!Таблица1[#Headers],0),FALSE)</f>
        <v>руб.</v>
      </c>
      <c r="AC7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0" spans="1:29" ht="14.25" customHeight="1" x14ac:dyDescent="0.2">
      <c r="A80" s="10" t="s">
        <v>163</v>
      </c>
      <c r="B80" s="11">
        <v>1</v>
      </c>
      <c r="C80" s="12"/>
      <c r="D80" s="13" t="s">
        <v>164</v>
      </c>
      <c r="E80" s="12"/>
      <c r="F80" s="14">
        <v>16</v>
      </c>
      <c r="G80" s="12"/>
      <c r="H80" s="15" t="s">
        <v>35</v>
      </c>
      <c r="I80" s="12"/>
      <c r="J80" s="16">
        <v>16560</v>
      </c>
      <c r="K80" s="16">
        <v>264960</v>
      </c>
      <c r="L80" s="17">
        <v>0.2</v>
      </c>
      <c r="M80" s="16">
        <v>44160</v>
      </c>
      <c r="N80" s="16">
        <v>264960</v>
      </c>
      <c r="O8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220800</v>
      </c>
      <c r="P80" s="12" t="s">
        <v>36</v>
      </c>
      <c r="Q80" s="12"/>
      <c r="R80" s="13" t="s">
        <v>165</v>
      </c>
      <c r="S80" s="18" t="s">
        <v>166</v>
      </c>
      <c r="T80" s="12"/>
      <c r="U80" s="12" t="s">
        <v>41</v>
      </c>
      <c r="V80" s="19"/>
      <c r="W80" s="12"/>
      <c r="X80" s="20" t="s">
        <v>41</v>
      </c>
      <c r="Y80" s="25" t="str">
        <f>VLOOKUP(Таблица2[[#This Row],[Номер заказа]],[1]!Таблица1[#Data],MATCH("Поставщик",[1]!Таблица1[#Headers],0),FALSE)</f>
        <v>МЕТАКОМ ООО</v>
      </c>
      <c r="Z80" s="26" t="s">
        <v>141</v>
      </c>
      <c r="AA80" s="27">
        <f>VLOOKUP(Таблица2[[#This Row],[Номер заказа]],[1]!Таблица1[#Data],MATCH("Дата",[1]!Таблица1[#Headers],0),FALSE)+0</f>
        <v>45687</v>
      </c>
      <c r="AB80" s="28" t="str">
        <f>VLOOKUP(Таблица2[[#This Row],[Номер заказа]],[1]!Таблица1[#Data],MATCH("Валюта",[1]!Таблица1[#Headers],0),FALSE)</f>
        <v>руб.</v>
      </c>
      <c r="AC8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1" spans="1:29" ht="14.25" customHeight="1" x14ac:dyDescent="0.2">
      <c r="A81" s="10" t="s">
        <v>163</v>
      </c>
      <c r="B81" s="11">
        <v>2</v>
      </c>
      <c r="C81" s="12"/>
      <c r="D81" s="13" t="s">
        <v>167</v>
      </c>
      <c r="E81" s="12"/>
      <c r="F81" s="14">
        <v>16</v>
      </c>
      <c r="G81" s="12"/>
      <c r="H81" s="15" t="s">
        <v>35</v>
      </c>
      <c r="I81" s="12"/>
      <c r="J81" s="16">
        <v>1680</v>
      </c>
      <c r="K81" s="16">
        <v>26880</v>
      </c>
      <c r="L81" s="17">
        <v>0.2</v>
      </c>
      <c r="M81" s="16">
        <v>4480</v>
      </c>
      <c r="N81" s="16">
        <v>26880</v>
      </c>
      <c r="O8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22400</v>
      </c>
      <c r="P81" s="12" t="s">
        <v>36</v>
      </c>
      <c r="Q81" s="12"/>
      <c r="R81" s="13" t="s">
        <v>165</v>
      </c>
      <c r="S81" s="18" t="s">
        <v>166</v>
      </c>
      <c r="T81" s="12"/>
      <c r="U81" s="12" t="s">
        <v>41</v>
      </c>
      <c r="V81" s="19"/>
      <c r="W81" s="12"/>
      <c r="X81" s="20" t="s">
        <v>41</v>
      </c>
      <c r="Y81" s="25" t="str">
        <f>VLOOKUP(Таблица2[[#This Row],[Номер заказа]],[1]!Таблица1[#Data],MATCH("Поставщик",[1]!Таблица1[#Headers],0),FALSE)</f>
        <v>МЕТАКОМ ООО</v>
      </c>
      <c r="Z81" s="26" t="s">
        <v>141</v>
      </c>
      <c r="AA81" s="27">
        <f>VLOOKUP(Таблица2[[#This Row],[Номер заказа]],[1]!Таблица1[#Data],MATCH("Дата",[1]!Таблица1[#Headers],0),FALSE)+0</f>
        <v>45687</v>
      </c>
      <c r="AB81" s="28" t="str">
        <f>VLOOKUP(Таблица2[[#This Row],[Номер заказа]],[1]!Таблица1[#Data],MATCH("Валюта",[1]!Таблица1[#Headers],0),FALSE)</f>
        <v>руб.</v>
      </c>
      <c r="AC8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2" spans="1:29" ht="14.25" customHeight="1" x14ac:dyDescent="0.2">
      <c r="A82" s="10" t="s">
        <v>163</v>
      </c>
      <c r="B82" s="11">
        <v>3</v>
      </c>
      <c r="C82" s="12"/>
      <c r="D82" s="13" t="s">
        <v>168</v>
      </c>
      <c r="E82" s="12"/>
      <c r="F82" s="14">
        <v>16</v>
      </c>
      <c r="G82" s="12"/>
      <c r="H82" s="15" t="s">
        <v>35</v>
      </c>
      <c r="I82" s="12"/>
      <c r="J82" s="16">
        <v>4140</v>
      </c>
      <c r="K82" s="16">
        <v>66240</v>
      </c>
      <c r="L82" s="17">
        <v>0.2</v>
      </c>
      <c r="M82" s="16">
        <v>11040</v>
      </c>
      <c r="N82" s="16">
        <v>66240</v>
      </c>
      <c r="O8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55200</v>
      </c>
      <c r="P82" s="12" t="s">
        <v>36</v>
      </c>
      <c r="Q82" s="12"/>
      <c r="R82" s="13" t="s">
        <v>165</v>
      </c>
      <c r="S82" s="18" t="s">
        <v>166</v>
      </c>
      <c r="T82" s="12"/>
      <c r="U82" s="12" t="s">
        <v>41</v>
      </c>
      <c r="V82" s="19"/>
      <c r="W82" s="12"/>
      <c r="X82" s="20" t="s">
        <v>41</v>
      </c>
      <c r="Y82" s="25" t="str">
        <f>VLOOKUP(Таблица2[[#This Row],[Номер заказа]],[1]!Таблица1[#Data],MATCH("Поставщик",[1]!Таблица1[#Headers],0),FALSE)</f>
        <v>МЕТАКОМ ООО</v>
      </c>
      <c r="Z82" s="26" t="s">
        <v>141</v>
      </c>
      <c r="AA82" s="27">
        <f>VLOOKUP(Таблица2[[#This Row],[Номер заказа]],[1]!Таблица1[#Data],MATCH("Дата",[1]!Таблица1[#Headers],0),FALSE)+0</f>
        <v>45687</v>
      </c>
      <c r="AB82" s="28" t="str">
        <f>VLOOKUP(Таблица2[[#This Row],[Номер заказа]],[1]!Таблица1[#Data],MATCH("Валюта",[1]!Таблица1[#Headers],0),FALSE)</f>
        <v>руб.</v>
      </c>
      <c r="AC8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3" spans="1:29" ht="14.25" customHeight="1" x14ac:dyDescent="0.2">
      <c r="A83" s="10" t="s">
        <v>169</v>
      </c>
      <c r="B83" s="11">
        <v>1</v>
      </c>
      <c r="C83" s="12"/>
      <c r="D83" s="13" t="s">
        <v>170</v>
      </c>
      <c r="E83" s="12"/>
      <c r="F83" s="14">
        <v>2</v>
      </c>
      <c r="G83" s="12"/>
      <c r="H83" s="15" t="s">
        <v>35</v>
      </c>
      <c r="I83" s="12"/>
      <c r="J83" s="16">
        <v>86760</v>
      </c>
      <c r="K83" s="16">
        <v>173520</v>
      </c>
      <c r="L83" s="17">
        <v>0.2</v>
      </c>
      <c r="M83" s="16">
        <v>28920</v>
      </c>
      <c r="N83" s="16">
        <v>173520</v>
      </c>
      <c r="O8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144600</v>
      </c>
      <c r="P83" s="12" t="s">
        <v>36</v>
      </c>
      <c r="Q83" s="12"/>
      <c r="R83" s="13" t="s">
        <v>171</v>
      </c>
      <c r="S83" s="13" t="s">
        <v>172</v>
      </c>
      <c r="T83" s="12"/>
      <c r="U83" s="12" t="s">
        <v>41</v>
      </c>
      <c r="V83" s="19"/>
      <c r="W83" s="12"/>
      <c r="X83" s="20" t="s">
        <v>41</v>
      </c>
      <c r="Y83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83" s="26" t="s">
        <v>56</v>
      </c>
      <c r="AA83" s="27">
        <f>VLOOKUP(Таблица2[[#This Row],[Номер заказа]],[1]!Таблица1[#Data],MATCH("Дата",[1]!Таблица1[#Headers],0),FALSE)+0</f>
        <v>45729</v>
      </c>
      <c r="AB83" s="28" t="str">
        <f>VLOOKUP(Таблица2[[#This Row],[Номер заказа]],[1]!Таблица1[#Data],MATCH("Валюта",[1]!Таблица1[#Headers],0),FALSE)</f>
        <v>руб.</v>
      </c>
      <c r="AC8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4" spans="1:29" ht="14.25" customHeight="1" x14ac:dyDescent="0.2">
      <c r="A84" s="10" t="s">
        <v>173</v>
      </c>
      <c r="B84" s="11">
        <v>1</v>
      </c>
      <c r="C84" s="12"/>
      <c r="D84" s="13" t="s">
        <v>174</v>
      </c>
      <c r="E84" s="12"/>
      <c r="F84" s="14">
        <v>76</v>
      </c>
      <c r="G84" s="12"/>
      <c r="H84" s="15" t="s">
        <v>35</v>
      </c>
      <c r="I84" s="12"/>
      <c r="J84" s="16">
        <v>46359.9</v>
      </c>
      <c r="K84" s="16">
        <v>3523352.7</v>
      </c>
      <c r="L84" s="17">
        <v>0.2</v>
      </c>
      <c r="M84" s="16">
        <v>587225.44999999995</v>
      </c>
      <c r="N84" s="16">
        <v>3523352.7</v>
      </c>
      <c r="O8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2936127.25</v>
      </c>
      <c r="P84" s="12" t="s">
        <v>36</v>
      </c>
      <c r="Q84" s="12"/>
      <c r="R84" s="13" t="s">
        <v>175</v>
      </c>
      <c r="S84" s="13" t="s">
        <v>172</v>
      </c>
      <c r="T84" s="12"/>
      <c r="U84" s="12" t="s">
        <v>41</v>
      </c>
      <c r="V84" s="19"/>
      <c r="W84" s="12"/>
      <c r="X84" s="20" t="s">
        <v>41</v>
      </c>
      <c r="Y84" s="25" t="str">
        <f>VLOOKUP(Таблица2[[#This Row],[Номер заказа]],[1]!Таблица1[#Data],MATCH("Поставщик",[1]!Таблица1[#Headers],0),FALSE)</f>
        <v>КМЗ ИЖОРА-МЕТАЛЛ АО</v>
      </c>
      <c r="Z84" s="26" t="s">
        <v>141</v>
      </c>
      <c r="AA84" s="27">
        <f>VLOOKUP(Таблица2[[#This Row],[Номер заказа]],[1]!Таблица1[#Data],MATCH("Дата",[1]!Таблица1[#Headers],0),FALSE)+0</f>
        <v>45737</v>
      </c>
      <c r="AB84" s="28" t="str">
        <f>VLOOKUP(Таблица2[[#This Row],[Номер заказа]],[1]!Таблица1[#Data],MATCH("Валюта",[1]!Таблица1[#Headers],0),FALSE)</f>
        <v>руб.</v>
      </c>
      <c r="AC8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5" spans="1:29" ht="14.25" customHeight="1" x14ac:dyDescent="0.2">
      <c r="A85" s="10" t="s">
        <v>173</v>
      </c>
      <c r="B85" s="11">
        <v>2</v>
      </c>
      <c r="C85" s="12"/>
      <c r="D85" s="13" t="s">
        <v>176</v>
      </c>
      <c r="E85" s="12"/>
      <c r="F85" s="14">
        <v>60</v>
      </c>
      <c r="G85" s="12"/>
      <c r="H85" s="15" t="s">
        <v>35</v>
      </c>
      <c r="I85" s="12"/>
      <c r="J85" s="16">
        <v>5374.04</v>
      </c>
      <c r="K85" s="16">
        <v>322442.18</v>
      </c>
      <c r="L85" s="17">
        <v>0.2</v>
      </c>
      <c r="M85" s="16">
        <v>53740.36</v>
      </c>
      <c r="N85" s="16">
        <v>322442.18</v>
      </c>
      <c r="O8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268701.82</v>
      </c>
      <c r="P85" s="12" t="s">
        <v>36</v>
      </c>
      <c r="Q85" s="12"/>
      <c r="R85" s="13" t="s">
        <v>175</v>
      </c>
      <c r="S85" s="13" t="s">
        <v>172</v>
      </c>
      <c r="T85" s="12"/>
      <c r="U85" s="12" t="s">
        <v>41</v>
      </c>
      <c r="V85" s="19"/>
      <c r="W85" s="12"/>
      <c r="X85" s="20" t="s">
        <v>41</v>
      </c>
      <c r="Y85" s="25" t="str">
        <f>VLOOKUP(Таблица2[[#This Row],[Номер заказа]],[1]!Таблица1[#Data],MATCH("Поставщик",[1]!Таблица1[#Headers],0),FALSE)</f>
        <v>КМЗ ИЖОРА-МЕТАЛЛ АО</v>
      </c>
      <c r="Z85" s="26" t="s">
        <v>141</v>
      </c>
      <c r="AA85" s="27">
        <f>VLOOKUP(Таблица2[[#This Row],[Номер заказа]],[1]!Таблица1[#Data],MATCH("Дата",[1]!Таблица1[#Headers],0),FALSE)+0</f>
        <v>45737</v>
      </c>
      <c r="AB85" s="28" t="str">
        <f>VLOOKUP(Таблица2[[#This Row],[Номер заказа]],[1]!Таблица1[#Data],MATCH("Валюта",[1]!Таблица1[#Headers],0),FALSE)</f>
        <v>руб.</v>
      </c>
      <c r="AC8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6" spans="1:29" ht="14.25" customHeight="1" x14ac:dyDescent="0.2">
      <c r="A86" s="10" t="s">
        <v>173</v>
      </c>
      <c r="B86" s="11">
        <v>3</v>
      </c>
      <c r="C86" s="12"/>
      <c r="D86" s="13" t="s">
        <v>174</v>
      </c>
      <c r="E86" s="12"/>
      <c r="F86" s="14">
        <v>4</v>
      </c>
      <c r="G86" s="12"/>
      <c r="H86" s="15" t="s">
        <v>35</v>
      </c>
      <c r="I86" s="12"/>
      <c r="J86" s="16">
        <v>47022.82</v>
      </c>
      <c r="K86" s="16">
        <v>188091.28</v>
      </c>
      <c r="L86" s="17">
        <v>0.2</v>
      </c>
      <c r="M86" s="16">
        <v>31348.55</v>
      </c>
      <c r="N86" s="16">
        <v>188091.28</v>
      </c>
      <c r="O8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156742.73000000001</v>
      </c>
      <c r="P86" s="12" t="s">
        <v>36</v>
      </c>
      <c r="Q86" s="12"/>
      <c r="R86" s="13" t="s">
        <v>177</v>
      </c>
      <c r="S86" s="13" t="s">
        <v>178</v>
      </c>
      <c r="T86" s="12"/>
      <c r="U86" s="12" t="s">
        <v>41</v>
      </c>
      <c r="V86" s="19"/>
      <c r="W86" s="12"/>
      <c r="X86" s="20" t="s">
        <v>41</v>
      </c>
      <c r="Y86" s="25" t="str">
        <f>VLOOKUP(Таблица2[[#This Row],[Номер заказа]],[1]!Таблица1[#Data],MATCH("Поставщик",[1]!Таблица1[#Headers],0),FALSE)</f>
        <v>КМЗ ИЖОРА-МЕТАЛЛ АО</v>
      </c>
      <c r="Z86" s="26" t="s">
        <v>141</v>
      </c>
      <c r="AA86" s="27">
        <f>VLOOKUP(Таблица2[[#This Row],[Номер заказа]],[1]!Таблица1[#Data],MATCH("Дата",[1]!Таблица1[#Headers],0),FALSE)+0</f>
        <v>45737</v>
      </c>
      <c r="AB86" s="28" t="str">
        <f>VLOOKUP(Таблица2[[#This Row],[Номер заказа]],[1]!Таблица1[#Data],MATCH("Валюта",[1]!Таблица1[#Headers],0),FALSE)</f>
        <v>руб.</v>
      </c>
      <c r="AC8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7" spans="1:29" ht="14.25" customHeight="1" x14ac:dyDescent="0.2">
      <c r="A87" s="10" t="s">
        <v>173</v>
      </c>
      <c r="B87" s="11">
        <v>4</v>
      </c>
      <c r="C87" s="12"/>
      <c r="D87" s="13" t="s">
        <v>174</v>
      </c>
      <c r="E87" s="12"/>
      <c r="F87" s="14">
        <v>4</v>
      </c>
      <c r="G87" s="12"/>
      <c r="H87" s="15" t="s">
        <v>35</v>
      </c>
      <c r="I87" s="12"/>
      <c r="J87" s="16">
        <v>47022.82</v>
      </c>
      <c r="K87" s="16">
        <v>188091.28</v>
      </c>
      <c r="L87" s="17">
        <v>0.2</v>
      </c>
      <c r="M87" s="16">
        <v>31348.55</v>
      </c>
      <c r="N87" s="16">
        <v>188091.28</v>
      </c>
      <c r="O8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156742.73000000001</v>
      </c>
      <c r="P87" s="12" t="s">
        <v>36</v>
      </c>
      <c r="Q87" s="12"/>
      <c r="R87" s="13" t="s">
        <v>179</v>
      </c>
      <c r="S87" s="13" t="s">
        <v>180</v>
      </c>
      <c r="T87" s="12"/>
      <c r="U87" s="12" t="s">
        <v>41</v>
      </c>
      <c r="V87" s="19"/>
      <c r="W87" s="12"/>
      <c r="X87" s="20" t="s">
        <v>41</v>
      </c>
      <c r="Y87" s="25" t="str">
        <f>VLOOKUP(Таблица2[[#This Row],[Номер заказа]],[1]!Таблица1[#Data],MATCH("Поставщик",[1]!Таблица1[#Headers],0),FALSE)</f>
        <v>КМЗ ИЖОРА-МЕТАЛЛ АО</v>
      </c>
      <c r="Z87" s="26" t="s">
        <v>141</v>
      </c>
      <c r="AA87" s="27">
        <f>VLOOKUP(Таблица2[[#This Row],[Номер заказа]],[1]!Таблица1[#Data],MATCH("Дата",[1]!Таблица1[#Headers],0),FALSE)+0</f>
        <v>45737</v>
      </c>
      <c r="AB87" s="28" t="str">
        <f>VLOOKUP(Таблица2[[#This Row],[Номер заказа]],[1]!Таблица1[#Data],MATCH("Валюта",[1]!Таблица1[#Headers],0),FALSE)</f>
        <v>руб.</v>
      </c>
      <c r="AC8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8" spans="1:29" ht="14.25" customHeight="1" x14ac:dyDescent="0.2">
      <c r="A88" s="10" t="s">
        <v>173</v>
      </c>
      <c r="B88" s="11">
        <v>5</v>
      </c>
      <c r="C88" s="12"/>
      <c r="D88" s="13" t="s">
        <v>174</v>
      </c>
      <c r="E88" s="12"/>
      <c r="F88" s="14">
        <v>8</v>
      </c>
      <c r="G88" s="12"/>
      <c r="H88" s="15" t="s">
        <v>35</v>
      </c>
      <c r="I88" s="12"/>
      <c r="J88" s="16">
        <v>47022.82</v>
      </c>
      <c r="K88" s="16">
        <v>376182.56</v>
      </c>
      <c r="L88" s="17">
        <v>0.2</v>
      </c>
      <c r="M88" s="16">
        <v>62697.09</v>
      </c>
      <c r="N88" s="16">
        <v>376182.56</v>
      </c>
      <c r="O8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313485.46999999997</v>
      </c>
      <c r="P88" s="12" t="s">
        <v>36</v>
      </c>
      <c r="Q88" s="12"/>
      <c r="R88" s="13" t="s">
        <v>181</v>
      </c>
      <c r="S88" s="13" t="s">
        <v>182</v>
      </c>
      <c r="T88" s="12"/>
      <c r="U88" s="12" t="s">
        <v>41</v>
      </c>
      <c r="V88" s="19"/>
      <c r="W88" s="12"/>
      <c r="X88" s="20" t="s">
        <v>41</v>
      </c>
      <c r="Y88" s="25" t="str">
        <f>VLOOKUP(Таблица2[[#This Row],[Номер заказа]],[1]!Таблица1[#Data],MATCH("Поставщик",[1]!Таблица1[#Headers],0),FALSE)</f>
        <v>КМЗ ИЖОРА-МЕТАЛЛ АО</v>
      </c>
      <c r="Z88" s="26" t="s">
        <v>141</v>
      </c>
      <c r="AA88" s="27">
        <f>VLOOKUP(Таблица2[[#This Row],[Номер заказа]],[1]!Таблица1[#Data],MATCH("Дата",[1]!Таблица1[#Headers],0),FALSE)+0</f>
        <v>45737</v>
      </c>
      <c r="AB88" s="28" t="str">
        <f>VLOOKUP(Таблица2[[#This Row],[Номер заказа]],[1]!Таблица1[#Data],MATCH("Валюта",[1]!Таблица1[#Headers],0),FALSE)</f>
        <v>руб.</v>
      </c>
      <c r="AC8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89" spans="1:29" ht="14.25" customHeight="1" x14ac:dyDescent="0.2">
      <c r="A89" s="10" t="s">
        <v>183</v>
      </c>
      <c r="B89" s="11">
        <v>1</v>
      </c>
      <c r="C89" s="12"/>
      <c r="D89" s="13" t="s">
        <v>184</v>
      </c>
      <c r="E89" s="12"/>
      <c r="F89" s="14">
        <v>4</v>
      </c>
      <c r="G89" s="12"/>
      <c r="H89" s="15" t="s">
        <v>35</v>
      </c>
      <c r="I89" s="12"/>
      <c r="J89" s="16">
        <v>491.4</v>
      </c>
      <c r="K89" s="16">
        <v>1965.6</v>
      </c>
      <c r="L89" s="17">
        <v>0.2</v>
      </c>
      <c r="M89" s="16">
        <v>327.60000000000002</v>
      </c>
      <c r="N89" s="16">
        <v>1965.6</v>
      </c>
      <c r="O8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1638</v>
      </c>
      <c r="P89" s="12" t="s">
        <v>36</v>
      </c>
      <c r="Q89" s="12" t="s">
        <v>80</v>
      </c>
      <c r="R89" s="13" t="s">
        <v>185</v>
      </c>
      <c r="S89" s="13" t="s">
        <v>178</v>
      </c>
      <c r="T89" s="12" t="s">
        <v>186</v>
      </c>
      <c r="U89" s="12" t="s">
        <v>47</v>
      </c>
      <c r="V89" s="19"/>
      <c r="W89" s="12"/>
      <c r="X89" s="20" t="s">
        <v>41</v>
      </c>
      <c r="Y89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89" s="26" t="s">
        <v>48</v>
      </c>
      <c r="AA89" s="27">
        <f>VLOOKUP(Таблица2[[#This Row],[Номер заказа]],[1]!Таблица1[#Data],MATCH("Дата",[1]!Таблица1[#Headers],0),FALSE)+0</f>
        <v>45845</v>
      </c>
      <c r="AB89" s="28" t="str">
        <f>VLOOKUP(Таблица2[[#This Row],[Номер заказа]],[1]!Таблица1[#Data],MATCH("Валюта",[1]!Таблица1[#Headers],0),FALSE)</f>
        <v>руб.</v>
      </c>
      <c r="AC8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0" spans="1:29" ht="14.25" customHeight="1" x14ac:dyDescent="0.2">
      <c r="A90" s="10" t="s">
        <v>183</v>
      </c>
      <c r="B90" s="11">
        <v>2</v>
      </c>
      <c r="C90" s="12"/>
      <c r="D90" s="13" t="s">
        <v>187</v>
      </c>
      <c r="E90" s="12"/>
      <c r="F90" s="14">
        <v>4</v>
      </c>
      <c r="G90" s="12"/>
      <c r="H90" s="15" t="s">
        <v>35</v>
      </c>
      <c r="I90" s="12"/>
      <c r="J90" s="16">
        <v>354</v>
      </c>
      <c r="K90" s="16">
        <v>1416</v>
      </c>
      <c r="L90" s="17">
        <v>0.2</v>
      </c>
      <c r="M90" s="16">
        <v>236</v>
      </c>
      <c r="N90" s="16">
        <v>1416</v>
      </c>
      <c r="O9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1180</v>
      </c>
      <c r="P90" s="12" t="s">
        <v>36</v>
      </c>
      <c r="Q90" s="12" t="s">
        <v>80</v>
      </c>
      <c r="R90" s="13" t="s">
        <v>185</v>
      </c>
      <c r="S90" s="13" t="s">
        <v>178</v>
      </c>
      <c r="T90" s="12" t="s">
        <v>186</v>
      </c>
      <c r="U90" s="12" t="s">
        <v>47</v>
      </c>
      <c r="V90" s="19"/>
      <c r="W90" s="12"/>
      <c r="X90" s="20" t="s">
        <v>41</v>
      </c>
      <c r="Y90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0" s="26" t="s">
        <v>48</v>
      </c>
      <c r="AA90" s="27">
        <f>VLOOKUP(Таблица2[[#This Row],[Номер заказа]],[1]!Таблица1[#Data],MATCH("Дата",[1]!Таблица1[#Headers],0),FALSE)+0</f>
        <v>45845</v>
      </c>
      <c r="AB90" s="28" t="str">
        <f>VLOOKUP(Таблица2[[#This Row],[Номер заказа]],[1]!Таблица1[#Data],MATCH("Валюта",[1]!Таблица1[#Headers],0),FALSE)</f>
        <v>руб.</v>
      </c>
      <c r="AC9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1" spans="1:29" ht="14.25" customHeight="1" x14ac:dyDescent="0.2">
      <c r="A91" s="10" t="s">
        <v>183</v>
      </c>
      <c r="B91" s="11">
        <v>3</v>
      </c>
      <c r="C91" s="12"/>
      <c r="D91" s="13" t="s">
        <v>188</v>
      </c>
      <c r="E91" s="12"/>
      <c r="F91" s="14">
        <v>60</v>
      </c>
      <c r="G91" s="12"/>
      <c r="H91" s="15" t="s">
        <v>35</v>
      </c>
      <c r="I91" s="12"/>
      <c r="J91" s="16">
        <v>173.4</v>
      </c>
      <c r="K91" s="16">
        <v>10404</v>
      </c>
      <c r="L91" s="17">
        <v>0.2</v>
      </c>
      <c r="M91" s="16">
        <v>1734</v>
      </c>
      <c r="N91" s="16">
        <v>10404</v>
      </c>
      <c r="O9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8670</v>
      </c>
      <c r="P91" s="12" t="s">
        <v>36</v>
      </c>
      <c r="Q91" s="12" t="s">
        <v>80</v>
      </c>
      <c r="R91" s="13" t="s">
        <v>189</v>
      </c>
      <c r="S91" s="13" t="s">
        <v>172</v>
      </c>
      <c r="T91" s="12" t="s">
        <v>186</v>
      </c>
      <c r="U91" s="12" t="s">
        <v>47</v>
      </c>
      <c r="V91" s="19"/>
      <c r="W91" s="12"/>
      <c r="X91" s="20" t="s">
        <v>41</v>
      </c>
      <c r="Y91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1" s="26" t="s">
        <v>48</v>
      </c>
      <c r="AA91" s="27">
        <f>VLOOKUP(Таблица2[[#This Row],[Номер заказа]],[1]!Таблица1[#Data],MATCH("Дата",[1]!Таблица1[#Headers],0),FALSE)+0</f>
        <v>45845</v>
      </c>
      <c r="AB91" s="28" t="str">
        <f>VLOOKUP(Таблица2[[#This Row],[Номер заказа]],[1]!Таблица1[#Data],MATCH("Валюта",[1]!Таблица1[#Headers],0),FALSE)</f>
        <v>руб.</v>
      </c>
      <c r="AC9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2" spans="1:29" ht="14.25" customHeight="1" x14ac:dyDescent="0.2">
      <c r="A92" s="10" t="s">
        <v>183</v>
      </c>
      <c r="B92" s="11">
        <v>4</v>
      </c>
      <c r="C92" s="12"/>
      <c r="D92" s="13" t="s">
        <v>190</v>
      </c>
      <c r="E92" s="12"/>
      <c r="F92" s="14">
        <v>40</v>
      </c>
      <c r="G92" s="12"/>
      <c r="H92" s="15" t="s">
        <v>35</v>
      </c>
      <c r="I92" s="12"/>
      <c r="J92" s="16">
        <v>650.4</v>
      </c>
      <c r="K92" s="16">
        <v>26016</v>
      </c>
      <c r="L92" s="17">
        <v>0.2</v>
      </c>
      <c r="M92" s="16">
        <v>4336</v>
      </c>
      <c r="N92" s="16">
        <v>26016</v>
      </c>
      <c r="O9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21680</v>
      </c>
      <c r="P92" s="12" t="s">
        <v>36</v>
      </c>
      <c r="Q92" s="12" t="s">
        <v>80</v>
      </c>
      <c r="R92" s="13" t="s">
        <v>189</v>
      </c>
      <c r="S92" s="13" t="s">
        <v>172</v>
      </c>
      <c r="T92" s="12" t="s">
        <v>186</v>
      </c>
      <c r="U92" s="12" t="s">
        <v>47</v>
      </c>
      <c r="V92" s="19"/>
      <c r="W92" s="12"/>
      <c r="X92" s="20" t="s">
        <v>41</v>
      </c>
      <c r="Y92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2" s="26" t="s">
        <v>48</v>
      </c>
      <c r="AA92" s="27">
        <f>VLOOKUP(Таблица2[[#This Row],[Номер заказа]],[1]!Таблица1[#Data],MATCH("Дата",[1]!Таблица1[#Headers],0),FALSE)+0</f>
        <v>45845</v>
      </c>
      <c r="AB92" s="28" t="str">
        <f>VLOOKUP(Таблица2[[#This Row],[Номер заказа]],[1]!Таблица1[#Data],MATCH("Валюта",[1]!Таблица1[#Headers],0),FALSE)</f>
        <v>руб.</v>
      </c>
      <c r="AC9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3" spans="1:29" ht="14.25" customHeight="1" x14ac:dyDescent="0.2">
      <c r="A93" s="10" t="s">
        <v>183</v>
      </c>
      <c r="B93" s="11">
        <v>5</v>
      </c>
      <c r="C93" s="12"/>
      <c r="D93" s="13" t="s">
        <v>191</v>
      </c>
      <c r="E93" s="12"/>
      <c r="F93" s="14">
        <v>4</v>
      </c>
      <c r="G93" s="12"/>
      <c r="H93" s="15" t="s">
        <v>35</v>
      </c>
      <c r="I93" s="12"/>
      <c r="J93" s="16">
        <v>130.19999999999999</v>
      </c>
      <c r="K93" s="16">
        <v>520.79999999999995</v>
      </c>
      <c r="L93" s="17">
        <v>0.2</v>
      </c>
      <c r="M93" s="16">
        <v>86.8</v>
      </c>
      <c r="N93" s="16">
        <v>520.79999999999995</v>
      </c>
      <c r="O9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433.99999999999994</v>
      </c>
      <c r="P93" s="12" t="s">
        <v>36</v>
      </c>
      <c r="Q93" s="12" t="s">
        <v>80</v>
      </c>
      <c r="R93" s="13" t="s">
        <v>189</v>
      </c>
      <c r="S93" s="13" t="s">
        <v>172</v>
      </c>
      <c r="T93" s="12" t="s">
        <v>186</v>
      </c>
      <c r="U93" s="12" t="s">
        <v>47</v>
      </c>
      <c r="V93" s="19"/>
      <c r="W93" s="12"/>
      <c r="X93" s="20" t="s">
        <v>41</v>
      </c>
      <c r="Y93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3" s="26" t="s">
        <v>48</v>
      </c>
      <c r="AA93" s="27">
        <f>VLOOKUP(Таблица2[[#This Row],[Номер заказа]],[1]!Таблица1[#Data],MATCH("Дата",[1]!Таблица1[#Headers],0),FALSE)+0</f>
        <v>45845</v>
      </c>
      <c r="AB93" s="28" t="str">
        <f>VLOOKUP(Таблица2[[#This Row],[Номер заказа]],[1]!Таблица1[#Data],MATCH("Валюта",[1]!Таблица1[#Headers],0),FALSE)</f>
        <v>руб.</v>
      </c>
      <c r="AC9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4" spans="1:29" ht="14.25" customHeight="1" x14ac:dyDescent="0.2">
      <c r="A94" s="10" t="s">
        <v>183</v>
      </c>
      <c r="B94" s="11">
        <v>6</v>
      </c>
      <c r="C94" s="12"/>
      <c r="D94" s="13" t="s">
        <v>192</v>
      </c>
      <c r="E94" s="12"/>
      <c r="F94" s="14">
        <v>44</v>
      </c>
      <c r="G94" s="12"/>
      <c r="H94" s="15" t="s">
        <v>35</v>
      </c>
      <c r="I94" s="12"/>
      <c r="J94" s="16">
        <v>45</v>
      </c>
      <c r="K94" s="16">
        <v>1980</v>
      </c>
      <c r="L94" s="17">
        <v>0.2</v>
      </c>
      <c r="M94" s="16">
        <v>330</v>
      </c>
      <c r="N94" s="16">
        <v>1980</v>
      </c>
      <c r="O9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1650</v>
      </c>
      <c r="P94" s="12" t="s">
        <v>36</v>
      </c>
      <c r="Q94" s="12" t="s">
        <v>80</v>
      </c>
      <c r="R94" s="13" t="s">
        <v>189</v>
      </c>
      <c r="S94" s="13" t="s">
        <v>172</v>
      </c>
      <c r="T94" s="12" t="s">
        <v>186</v>
      </c>
      <c r="U94" s="12" t="s">
        <v>47</v>
      </c>
      <c r="V94" s="19"/>
      <c r="W94" s="12"/>
      <c r="X94" s="20" t="s">
        <v>41</v>
      </c>
      <c r="Y94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4" s="26" t="s">
        <v>48</v>
      </c>
      <c r="AA94" s="27">
        <f>VLOOKUP(Таблица2[[#This Row],[Номер заказа]],[1]!Таблица1[#Data],MATCH("Дата",[1]!Таблица1[#Headers],0),FALSE)+0</f>
        <v>45845</v>
      </c>
      <c r="AB94" s="28" t="str">
        <f>VLOOKUP(Таблица2[[#This Row],[Номер заказа]],[1]!Таблица1[#Data],MATCH("Валюта",[1]!Таблица1[#Headers],0),FALSE)</f>
        <v>руб.</v>
      </c>
      <c r="AC9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5" spans="1:29" ht="14.25" customHeight="1" x14ac:dyDescent="0.2">
      <c r="A95" s="10" t="s">
        <v>183</v>
      </c>
      <c r="B95" s="11">
        <v>7</v>
      </c>
      <c r="C95" s="12"/>
      <c r="D95" s="13" t="s">
        <v>193</v>
      </c>
      <c r="E95" s="12"/>
      <c r="F95" s="14">
        <v>60</v>
      </c>
      <c r="G95" s="12"/>
      <c r="H95" s="15" t="s">
        <v>35</v>
      </c>
      <c r="I95" s="12"/>
      <c r="J95" s="16">
        <v>21.72</v>
      </c>
      <c r="K95" s="16">
        <v>1303.2</v>
      </c>
      <c r="L95" s="17">
        <v>0.2</v>
      </c>
      <c r="M95" s="16">
        <v>217.2</v>
      </c>
      <c r="N95" s="16">
        <v>1303.2</v>
      </c>
      <c r="O9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1086</v>
      </c>
      <c r="P95" s="12" t="s">
        <v>36</v>
      </c>
      <c r="Q95" s="12" t="s">
        <v>80</v>
      </c>
      <c r="R95" s="13" t="s">
        <v>189</v>
      </c>
      <c r="S95" s="13" t="s">
        <v>172</v>
      </c>
      <c r="T95" s="12" t="s">
        <v>186</v>
      </c>
      <c r="U95" s="12" t="s">
        <v>47</v>
      </c>
      <c r="V95" s="19"/>
      <c r="W95" s="12"/>
      <c r="X95" s="20" t="s">
        <v>41</v>
      </c>
      <c r="Y95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5" s="26" t="s">
        <v>48</v>
      </c>
      <c r="AA95" s="27">
        <f>VLOOKUP(Таблица2[[#This Row],[Номер заказа]],[1]!Таблица1[#Data],MATCH("Дата",[1]!Таблица1[#Headers],0),FALSE)+0</f>
        <v>45845</v>
      </c>
      <c r="AB95" s="28" t="str">
        <f>VLOOKUP(Таблица2[[#This Row],[Номер заказа]],[1]!Таблица1[#Data],MATCH("Валюта",[1]!Таблица1[#Headers],0),FALSE)</f>
        <v>руб.</v>
      </c>
      <c r="AC9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6" spans="1:29" ht="14.25" customHeight="1" x14ac:dyDescent="0.2">
      <c r="A96" s="10" t="s">
        <v>183</v>
      </c>
      <c r="B96" s="11">
        <v>8</v>
      </c>
      <c r="C96" s="12"/>
      <c r="D96" s="13" t="s">
        <v>194</v>
      </c>
      <c r="E96" s="12"/>
      <c r="F96" s="14">
        <v>40</v>
      </c>
      <c r="G96" s="12"/>
      <c r="H96" s="15" t="s">
        <v>35</v>
      </c>
      <c r="I96" s="12"/>
      <c r="J96" s="16">
        <v>151.80000000000001</v>
      </c>
      <c r="K96" s="16">
        <v>6072</v>
      </c>
      <c r="L96" s="17">
        <v>0.2</v>
      </c>
      <c r="M96" s="16">
        <v>1012</v>
      </c>
      <c r="N96" s="16">
        <v>6072</v>
      </c>
      <c r="O9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5060</v>
      </c>
      <c r="P96" s="12" t="s">
        <v>36</v>
      </c>
      <c r="Q96" s="12" t="s">
        <v>80</v>
      </c>
      <c r="R96" s="13" t="s">
        <v>189</v>
      </c>
      <c r="S96" s="13" t="s">
        <v>172</v>
      </c>
      <c r="T96" s="12" t="s">
        <v>186</v>
      </c>
      <c r="U96" s="12" t="s">
        <v>47</v>
      </c>
      <c r="V96" s="19"/>
      <c r="W96" s="12"/>
      <c r="X96" s="20" t="s">
        <v>41</v>
      </c>
      <c r="Y96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6" s="26" t="s">
        <v>48</v>
      </c>
      <c r="AA96" s="27">
        <f>VLOOKUP(Таблица2[[#This Row],[Номер заказа]],[1]!Таблица1[#Data],MATCH("Дата",[1]!Таблица1[#Headers],0),FALSE)+0</f>
        <v>45845</v>
      </c>
      <c r="AB96" s="28" t="str">
        <f>VLOOKUP(Таблица2[[#This Row],[Номер заказа]],[1]!Таблица1[#Data],MATCH("Валюта",[1]!Таблица1[#Headers],0),FALSE)</f>
        <v>руб.</v>
      </c>
      <c r="AC9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7" spans="1:29" ht="14.25" customHeight="1" x14ac:dyDescent="0.2">
      <c r="A97" s="10" t="s">
        <v>183</v>
      </c>
      <c r="B97" s="11">
        <v>9</v>
      </c>
      <c r="C97" s="12"/>
      <c r="D97" s="13" t="s">
        <v>184</v>
      </c>
      <c r="E97" s="12"/>
      <c r="F97" s="14">
        <v>4</v>
      </c>
      <c r="G97" s="12"/>
      <c r="H97" s="15" t="s">
        <v>35</v>
      </c>
      <c r="I97" s="12"/>
      <c r="J97" s="16">
        <v>491.4</v>
      </c>
      <c r="K97" s="16">
        <v>1965.6</v>
      </c>
      <c r="L97" s="17">
        <v>0.2</v>
      </c>
      <c r="M97" s="16">
        <v>327.60000000000002</v>
      </c>
      <c r="N97" s="16">
        <v>1965.6</v>
      </c>
      <c r="O9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1638</v>
      </c>
      <c r="P97" s="12" t="s">
        <v>36</v>
      </c>
      <c r="Q97" s="12" t="s">
        <v>80</v>
      </c>
      <c r="R97" s="13" t="s">
        <v>195</v>
      </c>
      <c r="S97" s="13" t="s">
        <v>180</v>
      </c>
      <c r="T97" s="12" t="s">
        <v>186</v>
      </c>
      <c r="U97" s="12" t="s">
        <v>47</v>
      </c>
      <c r="V97" s="19"/>
      <c r="W97" s="12"/>
      <c r="X97" s="20" t="s">
        <v>41</v>
      </c>
      <c r="Y97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7" s="26" t="s">
        <v>48</v>
      </c>
      <c r="AA97" s="27">
        <f>VLOOKUP(Таблица2[[#This Row],[Номер заказа]],[1]!Таблица1[#Data],MATCH("Дата",[1]!Таблица1[#Headers],0),FALSE)+0</f>
        <v>45845</v>
      </c>
      <c r="AB97" s="28" t="str">
        <f>VLOOKUP(Таблица2[[#This Row],[Номер заказа]],[1]!Таблица1[#Data],MATCH("Валюта",[1]!Таблица1[#Headers],0),FALSE)</f>
        <v>руб.</v>
      </c>
      <c r="AC9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8" spans="1:29" ht="14.25" customHeight="1" x14ac:dyDescent="0.2">
      <c r="A98" s="10" t="s">
        <v>183</v>
      </c>
      <c r="B98" s="11">
        <v>10</v>
      </c>
      <c r="C98" s="12"/>
      <c r="D98" s="13" t="s">
        <v>184</v>
      </c>
      <c r="E98" s="12"/>
      <c r="F98" s="14">
        <v>8</v>
      </c>
      <c r="G98" s="12"/>
      <c r="H98" s="15" t="s">
        <v>35</v>
      </c>
      <c r="I98" s="12"/>
      <c r="J98" s="16">
        <v>491.4</v>
      </c>
      <c r="K98" s="16">
        <v>3931.2</v>
      </c>
      <c r="L98" s="17">
        <v>0.2</v>
      </c>
      <c r="M98" s="16">
        <v>655.20000000000005</v>
      </c>
      <c r="N98" s="16">
        <v>3931.2</v>
      </c>
      <c r="O9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3276</v>
      </c>
      <c r="P98" s="12" t="s">
        <v>36</v>
      </c>
      <c r="Q98" s="12" t="s">
        <v>80</v>
      </c>
      <c r="R98" s="13" t="s">
        <v>196</v>
      </c>
      <c r="S98" s="13" t="s">
        <v>182</v>
      </c>
      <c r="T98" s="12" t="s">
        <v>186</v>
      </c>
      <c r="U98" s="12" t="s">
        <v>47</v>
      </c>
      <c r="V98" s="19"/>
      <c r="W98" s="12"/>
      <c r="X98" s="20" t="s">
        <v>41</v>
      </c>
      <c r="Y98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8" s="26" t="s">
        <v>48</v>
      </c>
      <c r="AA98" s="27">
        <f>VLOOKUP(Таблица2[[#This Row],[Номер заказа]],[1]!Таблица1[#Data],MATCH("Дата",[1]!Таблица1[#Headers],0),FALSE)+0</f>
        <v>45845</v>
      </c>
      <c r="AB98" s="28" t="str">
        <f>VLOOKUP(Таблица2[[#This Row],[Номер заказа]],[1]!Таблица1[#Data],MATCH("Валюта",[1]!Таблица1[#Headers],0),FALSE)</f>
        <v>руб.</v>
      </c>
      <c r="AC9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99" spans="1:29" ht="14.25" customHeight="1" x14ac:dyDescent="0.2">
      <c r="A99" s="10" t="s">
        <v>183</v>
      </c>
      <c r="B99" s="11">
        <v>11</v>
      </c>
      <c r="C99" s="12"/>
      <c r="D99" s="13" t="s">
        <v>184</v>
      </c>
      <c r="E99" s="12"/>
      <c r="F99" s="14">
        <v>4</v>
      </c>
      <c r="G99" s="12"/>
      <c r="H99" s="15" t="s">
        <v>35</v>
      </c>
      <c r="I99" s="12"/>
      <c r="J99" s="16">
        <v>491.4</v>
      </c>
      <c r="K99" s="16">
        <v>1965.6</v>
      </c>
      <c r="L99" s="17">
        <v>0.2</v>
      </c>
      <c r="M99" s="16">
        <v>327.60000000000002</v>
      </c>
      <c r="N99" s="16">
        <v>1965.6</v>
      </c>
      <c r="O9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1638</v>
      </c>
      <c r="P99" s="12" t="s">
        <v>36</v>
      </c>
      <c r="Q99" s="12" t="s">
        <v>80</v>
      </c>
      <c r="R99" s="13" t="s">
        <v>189</v>
      </c>
      <c r="S99" s="13" t="s">
        <v>172</v>
      </c>
      <c r="T99" s="12" t="s">
        <v>186</v>
      </c>
      <c r="U99" s="12" t="s">
        <v>47</v>
      </c>
      <c r="V99" s="19"/>
      <c r="W99" s="12"/>
      <c r="X99" s="20" t="s">
        <v>41</v>
      </c>
      <c r="Y99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99" s="26" t="s">
        <v>48</v>
      </c>
      <c r="AA99" s="27">
        <f>VLOOKUP(Таблица2[[#This Row],[Номер заказа]],[1]!Таблица1[#Data],MATCH("Дата",[1]!Таблица1[#Headers],0),FALSE)+0</f>
        <v>45845</v>
      </c>
      <c r="AB99" s="28" t="str">
        <f>VLOOKUP(Таблица2[[#This Row],[Номер заказа]],[1]!Таблица1[#Data],MATCH("Валюта",[1]!Таблица1[#Headers],0),FALSE)</f>
        <v>руб.</v>
      </c>
      <c r="AC99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0" spans="1:29" ht="14.25" customHeight="1" x14ac:dyDescent="0.2">
      <c r="A100" s="10" t="s">
        <v>183</v>
      </c>
      <c r="B100" s="11">
        <v>12</v>
      </c>
      <c r="C100" s="12"/>
      <c r="D100" s="13" t="s">
        <v>187</v>
      </c>
      <c r="E100" s="12"/>
      <c r="F100" s="14">
        <v>4</v>
      </c>
      <c r="G100" s="12"/>
      <c r="H100" s="15" t="s">
        <v>35</v>
      </c>
      <c r="I100" s="12"/>
      <c r="J100" s="16">
        <v>354</v>
      </c>
      <c r="K100" s="16">
        <v>1416</v>
      </c>
      <c r="L100" s="17">
        <v>0.2</v>
      </c>
      <c r="M100" s="16">
        <v>236</v>
      </c>
      <c r="N100" s="16">
        <v>1416</v>
      </c>
      <c r="O10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1180</v>
      </c>
      <c r="P100" s="12" t="s">
        <v>36</v>
      </c>
      <c r="Q100" s="12" t="s">
        <v>80</v>
      </c>
      <c r="R100" s="13" t="s">
        <v>195</v>
      </c>
      <c r="S100" s="13" t="s">
        <v>180</v>
      </c>
      <c r="T100" s="12" t="s">
        <v>186</v>
      </c>
      <c r="U100" s="12" t="s">
        <v>47</v>
      </c>
      <c r="V100" s="19"/>
      <c r="W100" s="12"/>
      <c r="X100" s="20" t="s">
        <v>41</v>
      </c>
      <c r="Y100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0" s="26" t="s">
        <v>48</v>
      </c>
      <c r="AA100" s="27">
        <f>VLOOKUP(Таблица2[[#This Row],[Номер заказа]],[1]!Таблица1[#Data],MATCH("Дата",[1]!Таблица1[#Headers],0),FALSE)+0</f>
        <v>45845</v>
      </c>
      <c r="AB100" s="28" t="str">
        <f>VLOOKUP(Таблица2[[#This Row],[Номер заказа]],[1]!Таблица1[#Data],MATCH("Валюта",[1]!Таблица1[#Headers],0),FALSE)</f>
        <v>руб.</v>
      </c>
      <c r="AC100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1" spans="1:29" ht="14.25" customHeight="1" x14ac:dyDescent="0.2">
      <c r="A101" s="10" t="s">
        <v>183</v>
      </c>
      <c r="B101" s="11">
        <v>13</v>
      </c>
      <c r="C101" s="12"/>
      <c r="D101" s="13" t="s">
        <v>187</v>
      </c>
      <c r="E101" s="12"/>
      <c r="F101" s="14">
        <v>8</v>
      </c>
      <c r="G101" s="12"/>
      <c r="H101" s="15" t="s">
        <v>35</v>
      </c>
      <c r="I101" s="12"/>
      <c r="J101" s="16">
        <v>354</v>
      </c>
      <c r="K101" s="16">
        <v>2832</v>
      </c>
      <c r="L101" s="17">
        <v>0.2</v>
      </c>
      <c r="M101" s="16">
        <v>472</v>
      </c>
      <c r="N101" s="16">
        <v>2832</v>
      </c>
      <c r="O10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2360</v>
      </c>
      <c r="P101" s="12" t="s">
        <v>36</v>
      </c>
      <c r="Q101" s="12" t="s">
        <v>80</v>
      </c>
      <c r="R101" s="13" t="s">
        <v>196</v>
      </c>
      <c r="S101" s="13" t="s">
        <v>182</v>
      </c>
      <c r="T101" s="12" t="s">
        <v>186</v>
      </c>
      <c r="U101" s="12" t="s">
        <v>47</v>
      </c>
      <c r="V101" s="19"/>
      <c r="W101" s="12"/>
      <c r="X101" s="20" t="s">
        <v>41</v>
      </c>
      <c r="Y101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1" s="26" t="s">
        <v>48</v>
      </c>
      <c r="AA101" s="27">
        <f>VLOOKUP(Таблица2[[#This Row],[Номер заказа]],[1]!Таблица1[#Data],MATCH("Дата",[1]!Таблица1[#Headers],0),FALSE)+0</f>
        <v>45845</v>
      </c>
      <c r="AB101" s="28" t="str">
        <f>VLOOKUP(Таблица2[[#This Row],[Номер заказа]],[1]!Таблица1[#Data],MATCH("Валюта",[1]!Таблица1[#Headers],0),FALSE)</f>
        <v>руб.</v>
      </c>
      <c r="AC101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2" spans="1:29" ht="14.25" customHeight="1" x14ac:dyDescent="0.2">
      <c r="A102" s="10" t="s">
        <v>183</v>
      </c>
      <c r="B102" s="11">
        <v>14</v>
      </c>
      <c r="C102" s="12"/>
      <c r="D102" s="13" t="s">
        <v>192</v>
      </c>
      <c r="E102" s="12"/>
      <c r="F102" s="14">
        <v>4</v>
      </c>
      <c r="G102" s="12"/>
      <c r="H102" s="15" t="s">
        <v>35</v>
      </c>
      <c r="I102" s="12"/>
      <c r="J102" s="16">
        <v>45</v>
      </c>
      <c r="K102" s="16">
        <v>180</v>
      </c>
      <c r="L102" s="17">
        <v>0.2</v>
      </c>
      <c r="M102" s="16">
        <v>30</v>
      </c>
      <c r="N102" s="16">
        <v>180</v>
      </c>
      <c r="O10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150</v>
      </c>
      <c r="P102" s="12" t="s">
        <v>36</v>
      </c>
      <c r="Q102" s="12" t="s">
        <v>80</v>
      </c>
      <c r="R102" s="13" t="s">
        <v>195</v>
      </c>
      <c r="S102" s="13" t="s">
        <v>180</v>
      </c>
      <c r="T102" s="12" t="s">
        <v>186</v>
      </c>
      <c r="U102" s="12" t="s">
        <v>47</v>
      </c>
      <c r="V102" s="19"/>
      <c r="W102" s="12"/>
      <c r="X102" s="20" t="s">
        <v>41</v>
      </c>
      <c r="Y102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2" s="26" t="s">
        <v>48</v>
      </c>
      <c r="AA102" s="27">
        <f>VLOOKUP(Таблица2[[#This Row],[Номер заказа]],[1]!Таблица1[#Data],MATCH("Дата",[1]!Таблица1[#Headers],0),FALSE)+0</f>
        <v>45845</v>
      </c>
      <c r="AB102" s="28" t="str">
        <f>VLOOKUP(Таблица2[[#This Row],[Номер заказа]],[1]!Таблица1[#Data],MATCH("Валюта",[1]!Таблица1[#Headers],0),FALSE)</f>
        <v>руб.</v>
      </c>
      <c r="AC102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3" spans="1:29" ht="14.25" customHeight="1" x14ac:dyDescent="0.2">
      <c r="A103" s="10" t="s">
        <v>183</v>
      </c>
      <c r="B103" s="11">
        <v>15</v>
      </c>
      <c r="C103" s="12"/>
      <c r="D103" s="13" t="s">
        <v>192</v>
      </c>
      <c r="E103" s="12"/>
      <c r="F103" s="14">
        <v>4</v>
      </c>
      <c r="G103" s="12"/>
      <c r="H103" s="15" t="s">
        <v>35</v>
      </c>
      <c r="I103" s="12"/>
      <c r="J103" s="16">
        <v>45</v>
      </c>
      <c r="K103" s="16">
        <v>180</v>
      </c>
      <c r="L103" s="17">
        <v>0.2</v>
      </c>
      <c r="M103" s="16">
        <v>30</v>
      </c>
      <c r="N103" s="16">
        <v>180</v>
      </c>
      <c r="O10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150</v>
      </c>
      <c r="P103" s="12" t="s">
        <v>36</v>
      </c>
      <c r="Q103" s="12" t="s">
        <v>80</v>
      </c>
      <c r="R103" s="13" t="s">
        <v>185</v>
      </c>
      <c r="S103" s="13" t="s">
        <v>178</v>
      </c>
      <c r="T103" s="12" t="s">
        <v>186</v>
      </c>
      <c r="U103" s="12" t="s">
        <v>47</v>
      </c>
      <c r="V103" s="19"/>
      <c r="W103" s="12"/>
      <c r="X103" s="20" t="s">
        <v>41</v>
      </c>
      <c r="Y103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3" s="26" t="s">
        <v>48</v>
      </c>
      <c r="AA103" s="27">
        <f>VLOOKUP(Таблица2[[#This Row],[Номер заказа]],[1]!Таблица1[#Data],MATCH("Дата",[1]!Таблица1[#Headers],0),FALSE)+0</f>
        <v>45845</v>
      </c>
      <c r="AB103" s="28" t="str">
        <f>VLOOKUP(Таблица2[[#This Row],[Номер заказа]],[1]!Таблица1[#Data],MATCH("Валюта",[1]!Таблица1[#Headers],0),FALSE)</f>
        <v>руб.</v>
      </c>
      <c r="AC103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4" spans="1:29" ht="14.25" customHeight="1" x14ac:dyDescent="0.2">
      <c r="A104" s="10" t="s">
        <v>183</v>
      </c>
      <c r="B104" s="11">
        <v>16</v>
      </c>
      <c r="C104" s="12"/>
      <c r="D104" s="13" t="s">
        <v>192</v>
      </c>
      <c r="E104" s="12"/>
      <c r="F104" s="14">
        <v>8</v>
      </c>
      <c r="G104" s="12"/>
      <c r="H104" s="15" t="s">
        <v>35</v>
      </c>
      <c r="I104" s="12"/>
      <c r="J104" s="16">
        <v>45</v>
      </c>
      <c r="K104" s="16">
        <v>360</v>
      </c>
      <c r="L104" s="17">
        <v>0.2</v>
      </c>
      <c r="M104" s="16">
        <v>60</v>
      </c>
      <c r="N104" s="16">
        <v>360</v>
      </c>
      <c r="O10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</v>
      </c>
      <c r="P104" s="12" t="s">
        <v>36</v>
      </c>
      <c r="Q104" s="12" t="s">
        <v>80</v>
      </c>
      <c r="R104" s="13" t="s">
        <v>196</v>
      </c>
      <c r="S104" s="13" t="s">
        <v>182</v>
      </c>
      <c r="T104" s="12" t="s">
        <v>186</v>
      </c>
      <c r="U104" s="12" t="s">
        <v>47</v>
      </c>
      <c r="V104" s="19"/>
      <c r="W104" s="12"/>
      <c r="X104" s="20" t="s">
        <v>41</v>
      </c>
      <c r="Y104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4" s="26" t="s">
        <v>48</v>
      </c>
      <c r="AA104" s="27">
        <f>VLOOKUP(Таблица2[[#This Row],[Номер заказа]],[1]!Таблица1[#Data],MATCH("Дата",[1]!Таблица1[#Headers],0),FALSE)+0</f>
        <v>45845</v>
      </c>
      <c r="AB104" s="28" t="str">
        <f>VLOOKUP(Таблица2[[#This Row],[Номер заказа]],[1]!Таблица1[#Data],MATCH("Валюта",[1]!Таблица1[#Headers],0),FALSE)</f>
        <v>руб.</v>
      </c>
      <c r="AC104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5" spans="1:29" ht="14.25" customHeight="1" x14ac:dyDescent="0.2">
      <c r="A105" s="10" t="s">
        <v>183</v>
      </c>
      <c r="B105" s="11">
        <v>17</v>
      </c>
      <c r="C105" s="12"/>
      <c r="D105" s="13" t="s">
        <v>191</v>
      </c>
      <c r="E105" s="12"/>
      <c r="F105" s="14">
        <v>4</v>
      </c>
      <c r="G105" s="12"/>
      <c r="H105" s="15" t="s">
        <v>35</v>
      </c>
      <c r="I105" s="12"/>
      <c r="J105" s="16">
        <v>130.19999999999999</v>
      </c>
      <c r="K105" s="16">
        <v>520.79999999999995</v>
      </c>
      <c r="L105" s="17">
        <v>0.2</v>
      </c>
      <c r="M105" s="16">
        <v>86.8</v>
      </c>
      <c r="N105" s="16">
        <v>520.79999999999995</v>
      </c>
      <c r="O10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433.99999999999994</v>
      </c>
      <c r="P105" s="12" t="s">
        <v>36</v>
      </c>
      <c r="Q105" s="12" t="s">
        <v>80</v>
      </c>
      <c r="R105" s="13" t="s">
        <v>185</v>
      </c>
      <c r="S105" s="13" t="s">
        <v>178</v>
      </c>
      <c r="T105" s="12" t="s">
        <v>186</v>
      </c>
      <c r="U105" s="12" t="s">
        <v>47</v>
      </c>
      <c r="V105" s="19"/>
      <c r="W105" s="12"/>
      <c r="X105" s="20" t="s">
        <v>41</v>
      </c>
      <c r="Y105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5" s="26" t="s">
        <v>48</v>
      </c>
      <c r="AA105" s="27">
        <f>VLOOKUP(Таблица2[[#This Row],[Номер заказа]],[1]!Таблица1[#Data],MATCH("Дата",[1]!Таблица1[#Headers],0),FALSE)+0</f>
        <v>45845</v>
      </c>
      <c r="AB105" s="28" t="str">
        <f>VLOOKUP(Таблица2[[#This Row],[Номер заказа]],[1]!Таблица1[#Data],MATCH("Валюта",[1]!Таблица1[#Headers],0),FALSE)</f>
        <v>руб.</v>
      </c>
      <c r="AC105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6" spans="1:29" ht="14.25" customHeight="1" x14ac:dyDescent="0.2">
      <c r="A106" s="10" t="s">
        <v>183</v>
      </c>
      <c r="B106" s="11">
        <v>18</v>
      </c>
      <c r="C106" s="12"/>
      <c r="D106" s="13" t="s">
        <v>191</v>
      </c>
      <c r="E106" s="12"/>
      <c r="F106" s="14">
        <v>4</v>
      </c>
      <c r="G106" s="12"/>
      <c r="H106" s="15" t="s">
        <v>35</v>
      </c>
      <c r="I106" s="12"/>
      <c r="J106" s="16">
        <v>130.19999999999999</v>
      </c>
      <c r="K106" s="16">
        <v>520.79999999999995</v>
      </c>
      <c r="L106" s="17">
        <v>0.2</v>
      </c>
      <c r="M106" s="16">
        <v>86.8</v>
      </c>
      <c r="N106" s="16">
        <v>520.79999999999995</v>
      </c>
      <c r="O10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433.99999999999994</v>
      </c>
      <c r="P106" s="12" t="s">
        <v>36</v>
      </c>
      <c r="Q106" s="12" t="s">
        <v>80</v>
      </c>
      <c r="R106" s="13" t="s">
        <v>195</v>
      </c>
      <c r="S106" s="13" t="s">
        <v>180</v>
      </c>
      <c r="T106" s="12" t="s">
        <v>186</v>
      </c>
      <c r="U106" s="12" t="s">
        <v>47</v>
      </c>
      <c r="V106" s="19"/>
      <c r="W106" s="12"/>
      <c r="X106" s="20" t="s">
        <v>41</v>
      </c>
      <c r="Y106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6" s="26" t="s">
        <v>48</v>
      </c>
      <c r="AA106" s="27">
        <f>VLOOKUP(Таблица2[[#This Row],[Номер заказа]],[1]!Таблица1[#Data],MATCH("Дата",[1]!Таблица1[#Headers],0),FALSE)+0</f>
        <v>45845</v>
      </c>
      <c r="AB106" s="28" t="str">
        <f>VLOOKUP(Таблица2[[#This Row],[Номер заказа]],[1]!Таблица1[#Data],MATCH("Валюта",[1]!Таблица1[#Headers],0),FALSE)</f>
        <v>руб.</v>
      </c>
      <c r="AC106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7" spans="1:29" ht="14.25" customHeight="1" x14ac:dyDescent="0.2">
      <c r="A107" s="10" t="s">
        <v>183</v>
      </c>
      <c r="B107" s="11">
        <v>19</v>
      </c>
      <c r="C107" s="12"/>
      <c r="D107" s="13" t="s">
        <v>191</v>
      </c>
      <c r="E107" s="12"/>
      <c r="F107" s="14">
        <v>8</v>
      </c>
      <c r="G107" s="12"/>
      <c r="H107" s="15" t="s">
        <v>35</v>
      </c>
      <c r="I107" s="12"/>
      <c r="J107" s="16">
        <v>130.19999999999999</v>
      </c>
      <c r="K107" s="16">
        <v>1041.5999999999999</v>
      </c>
      <c r="L107" s="17">
        <v>0.2</v>
      </c>
      <c r="M107" s="16">
        <v>173.6</v>
      </c>
      <c r="N107" s="16">
        <v>1041.5999999999999</v>
      </c>
      <c r="O10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867.99999999999989</v>
      </c>
      <c r="P107" s="12" t="s">
        <v>36</v>
      </c>
      <c r="Q107" s="12" t="s">
        <v>80</v>
      </c>
      <c r="R107" s="13" t="s">
        <v>196</v>
      </c>
      <c r="S107" s="13" t="s">
        <v>182</v>
      </c>
      <c r="T107" s="12" t="s">
        <v>186</v>
      </c>
      <c r="U107" s="12" t="s">
        <v>47</v>
      </c>
      <c r="V107" s="19"/>
      <c r="W107" s="12"/>
      <c r="X107" s="20" t="s">
        <v>41</v>
      </c>
      <c r="Y107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7" s="26" t="s">
        <v>48</v>
      </c>
      <c r="AA107" s="27">
        <f>VLOOKUP(Таблица2[[#This Row],[Номер заказа]],[1]!Таблица1[#Data],MATCH("Дата",[1]!Таблица1[#Headers],0),FALSE)+0</f>
        <v>45845</v>
      </c>
      <c r="AB107" s="28" t="str">
        <f>VLOOKUP(Таблица2[[#This Row],[Номер заказа]],[1]!Таблица1[#Data],MATCH("Валюта",[1]!Таблица1[#Headers],0),FALSE)</f>
        <v>руб.</v>
      </c>
      <c r="AC107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8" spans="1:29" ht="14.25" customHeight="1" x14ac:dyDescent="0.2">
      <c r="A108" s="10" t="s">
        <v>183</v>
      </c>
      <c r="B108" s="11">
        <v>20</v>
      </c>
      <c r="C108" s="12"/>
      <c r="D108" s="13" t="s">
        <v>187</v>
      </c>
      <c r="E108" s="12"/>
      <c r="F108" s="14">
        <v>4</v>
      </c>
      <c r="G108" s="12"/>
      <c r="H108" s="15" t="s">
        <v>35</v>
      </c>
      <c r="I108" s="12"/>
      <c r="J108" s="16">
        <v>354</v>
      </c>
      <c r="K108" s="16">
        <v>1416</v>
      </c>
      <c r="L108" s="17">
        <v>0.2</v>
      </c>
      <c r="M108" s="16">
        <v>236</v>
      </c>
      <c r="N108" s="16">
        <v>1416</v>
      </c>
      <c r="O10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1180</v>
      </c>
      <c r="P108" s="12" t="s">
        <v>36</v>
      </c>
      <c r="Q108" s="12" t="s">
        <v>80</v>
      </c>
      <c r="R108" s="13" t="s">
        <v>189</v>
      </c>
      <c r="S108" s="13" t="s">
        <v>172</v>
      </c>
      <c r="T108" s="12" t="s">
        <v>186</v>
      </c>
      <c r="U108" s="12" t="s">
        <v>47</v>
      </c>
      <c r="V108" s="19"/>
      <c r="W108" s="12"/>
      <c r="X108" s="20" t="s">
        <v>41</v>
      </c>
      <c r="Y108" s="25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08" s="26" t="s">
        <v>48</v>
      </c>
      <c r="AA108" s="27">
        <f>VLOOKUP(Таблица2[[#This Row],[Номер заказа]],[1]!Таблица1[#Data],MATCH("Дата",[1]!Таблица1[#Headers],0),FALSE)+0</f>
        <v>45845</v>
      </c>
      <c r="AB108" s="28" t="str">
        <f>VLOOKUP(Таблица2[[#This Row],[Номер заказа]],[1]!Таблица1[#Data],MATCH("Валюта",[1]!Таблица1[#Headers],0),FALSE)</f>
        <v>руб.</v>
      </c>
      <c r="AC108" s="28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09" spans="1:29" ht="14.25" customHeight="1" x14ac:dyDescent="0.2">
      <c r="A109" s="10" t="s">
        <v>197</v>
      </c>
      <c r="B109" s="11">
        <v>1</v>
      </c>
      <c r="C109" s="12"/>
      <c r="D109" s="13" t="s">
        <v>198</v>
      </c>
      <c r="E109" s="12"/>
      <c r="F109" s="14">
        <v>4</v>
      </c>
      <c r="G109" s="12"/>
      <c r="H109" s="15" t="s">
        <v>35</v>
      </c>
      <c r="I109" s="12"/>
      <c r="J109" s="16">
        <v>39600</v>
      </c>
      <c r="K109" s="16">
        <v>158400</v>
      </c>
      <c r="L109" s="17">
        <v>0.2</v>
      </c>
      <c r="M109" s="16">
        <v>26400</v>
      </c>
      <c r="N109" s="16">
        <v>158400</v>
      </c>
      <c r="O10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132000</v>
      </c>
      <c r="P109" s="12" t="s">
        <v>36</v>
      </c>
      <c r="Q109" s="12" t="s">
        <v>53</v>
      </c>
      <c r="R109" s="13" t="s">
        <v>199</v>
      </c>
      <c r="S109" s="18" t="s">
        <v>46</v>
      </c>
      <c r="T109" s="12" t="s">
        <v>40</v>
      </c>
      <c r="U109" s="12" t="s">
        <v>41</v>
      </c>
      <c r="V109" s="19"/>
      <c r="W109" s="12"/>
      <c r="X109" s="20" t="s">
        <v>41</v>
      </c>
      <c r="Y109" s="25" t="str">
        <f>VLOOKUP(Таблица2[[#This Row],[Номер заказа]],[1]!Таблица1[#Data],MATCH("Поставщик",[1]!Таблица1[#Headers],0),FALSE)</f>
        <v>Витренко Михаил Александрович</v>
      </c>
      <c r="Z109" s="26" t="s">
        <v>200</v>
      </c>
      <c r="AA109" s="27">
        <f>VLOOKUP(Таблица2[[#This Row],[Номер заказа]],[1]!Таблица1[#Data],MATCH("Дата",[1]!Таблица1[#Headers],0),FALSE)+0</f>
        <v>45482</v>
      </c>
      <c r="AB109" s="28" t="str">
        <f>VLOOKUP(Таблица2[[#This Row],[Номер заказа]],[1]!Таблица1[#Data],MATCH("Валюта",[1]!Таблица1[#Headers],0),FALSE)</f>
        <v>руб.</v>
      </c>
      <c r="AC109" s="28">
        <f>_xlfn.XLOOKUP(Таблица2[[#This Row],[Номенклатура]],[1]!Таблица24[Наименование],[1]!Таблица24[Кол-во],"Нет на складе",0)</f>
        <v>4</v>
      </c>
    </row>
    <row r="110" spans="1:29" ht="14.25" customHeight="1" x14ac:dyDescent="0.2">
      <c r="A110" s="10" t="s">
        <v>201</v>
      </c>
      <c r="B110" s="11">
        <v>1</v>
      </c>
      <c r="C110" s="12"/>
      <c r="D110" s="13" t="s">
        <v>202</v>
      </c>
      <c r="E110" s="12"/>
      <c r="F110" s="14">
        <v>2</v>
      </c>
      <c r="G110" s="12"/>
      <c r="H110" s="15" t="s">
        <v>35</v>
      </c>
      <c r="I110" s="12"/>
      <c r="J110" s="16">
        <v>210000</v>
      </c>
      <c r="K110" s="16">
        <v>420000</v>
      </c>
      <c r="L110" s="17">
        <v>0.2</v>
      </c>
      <c r="M110" s="16">
        <v>70000</v>
      </c>
      <c r="N110" s="16">
        <v>420000</v>
      </c>
      <c r="O11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350000</v>
      </c>
      <c r="P110" s="12" t="s">
        <v>36</v>
      </c>
      <c r="Q110" s="12" t="s">
        <v>53</v>
      </c>
      <c r="R110" s="13" t="s">
        <v>203</v>
      </c>
      <c r="S110" s="18" t="s">
        <v>46</v>
      </c>
      <c r="T110" s="12" t="s">
        <v>40</v>
      </c>
      <c r="U110" s="12" t="s">
        <v>41</v>
      </c>
      <c r="V110" s="19" t="s">
        <v>204</v>
      </c>
      <c r="W110" s="26"/>
      <c r="X110" s="29" t="s">
        <v>41</v>
      </c>
      <c r="Y110" s="25" t="str">
        <f>VLOOKUP(Таблица2[[#This Row],[Номер заказа]],[1]!Таблица1[#Data],MATCH("Поставщик",[1]!Таблица1[#Headers],0),FALSE)</f>
        <v>АВТОМАТИКА-СЕВЕР АО</v>
      </c>
      <c r="Z110" s="26" t="s">
        <v>65</v>
      </c>
      <c r="AA110" s="27">
        <f>VLOOKUP(Таблица2[[#This Row],[Номер заказа]],[1]!Таблица1[#Data],MATCH("Дата",[1]!Таблица1[#Headers],0),FALSE)+0</f>
        <v>45526</v>
      </c>
      <c r="AB110" s="28" t="str">
        <f>VLOOKUP(Таблица2[[#This Row],[Номер заказа]],[1]!Таблица1[#Data],MATCH("Валюта",[1]!Таблица1[#Headers],0),FALSE)</f>
        <v>руб.</v>
      </c>
      <c r="AC110" s="28">
        <f>_xlfn.XLOOKUP(Таблица2[[#This Row],[Номенклатура]],[1]!Таблица24[Наименование],[1]!Таблица24[Кол-во],"Нет на складе",0)</f>
        <v>2</v>
      </c>
    </row>
    <row r="111" spans="1:29" ht="14.25" customHeight="1" x14ac:dyDescent="0.2">
      <c r="A111" s="10" t="s">
        <v>205</v>
      </c>
      <c r="B111" s="11">
        <v>1</v>
      </c>
      <c r="C111" s="12"/>
      <c r="D111" s="13" t="s">
        <v>206</v>
      </c>
      <c r="E111" s="12"/>
      <c r="F111" s="14">
        <v>3</v>
      </c>
      <c r="G111" s="12"/>
      <c r="H111" s="15" t="s">
        <v>35</v>
      </c>
      <c r="I111" s="12"/>
      <c r="J111" s="16">
        <v>65000</v>
      </c>
      <c r="K111" s="16">
        <v>195000</v>
      </c>
      <c r="L111" s="17">
        <v>0.2</v>
      </c>
      <c r="M111" s="16">
        <v>32500</v>
      </c>
      <c r="N111" s="16">
        <v>195000</v>
      </c>
      <c r="O11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162500</v>
      </c>
      <c r="P111" s="12" t="s">
        <v>36</v>
      </c>
      <c r="Q111" s="12" t="s">
        <v>53</v>
      </c>
      <c r="R111" s="13" t="s">
        <v>207</v>
      </c>
      <c r="S111" s="18" t="s">
        <v>46</v>
      </c>
      <c r="T111" s="12" t="s">
        <v>40</v>
      </c>
      <c r="U111" s="12" t="s">
        <v>41</v>
      </c>
      <c r="V111" s="19" t="s">
        <v>208</v>
      </c>
      <c r="W111" s="26"/>
      <c r="X111" s="29" t="s">
        <v>41</v>
      </c>
      <c r="Y111" s="25" t="str">
        <f>VLOOKUP(Таблица2[[#This Row],[Номер заказа]],[1]!Таблица1[#Data],MATCH("Поставщик",[1]!Таблица1[#Headers],0),FALSE)</f>
        <v>АВТОМАТИКА-СЕВЕР АО</v>
      </c>
      <c r="Z111" s="26" t="s">
        <v>56</v>
      </c>
      <c r="AA111" s="27">
        <f>VLOOKUP(Таблица2[[#This Row],[Номер заказа]],[1]!Таблица1[#Data],MATCH("Дата",[1]!Таблица1[#Headers],0),FALSE)+0</f>
        <v>45526</v>
      </c>
      <c r="AB111" s="28" t="str">
        <f>VLOOKUP(Таблица2[[#This Row],[Номер заказа]],[1]!Таблица1[#Data],MATCH("Валюта",[1]!Таблица1[#Headers],0),FALSE)</f>
        <v>руб.</v>
      </c>
      <c r="AC111" s="28">
        <f>_xlfn.XLOOKUP(Таблица2[[#This Row],[Номенклатура]],[1]!Таблица24[Наименование],[1]!Таблица24[Кол-во],"Нет на складе",0)</f>
        <v>3</v>
      </c>
    </row>
    <row r="112" spans="1:29" ht="14.25" customHeight="1" x14ac:dyDescent="0.2">
      <c r="A112" s="10" t="s">
        <v>209</v>
      </c>
      <c r="B112" s="11">
        <v>1</v>
      </c>
      <c r="C112" s="12"/>
      <c r="D112" s="13" t="s">
        <v>210</v>
      </c>
      <c r="E112" s="12"/>
      <c r="F112" s="14">
        <v>2</v>
      </c>
      <c r="G112" s="12"/>
      <c r="H112" s="15" t="s">
        <v>35</v>
      </c>
      <c r="I112" s="12"/>
      <c r="J112" s="16">
        <v>78000</v>
      </c>
      <c r="K112" s="16">
        <v>156000</v>
      </c>
      <c r="L112" s="17">
        <v>0.2</v>
      </c>
      <c r="M112" s="16">
        <v>26000</v>
      </c>
      <c r="N112" s="16">
        <v>156000</v>
      </c>
      <c r="O11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130000</v>
      </c>
      <c r="P112" s="12" t="s">
        <v>36</v>
      </c>
      <c r="Q112" s="12" t="s">
        <v>53</v>
      </c>
      <c r="R112" s="13" t="s">
        <v>211</v>
      </c>
      <c r="S112" s="18" t="s">
        <v>46</v>
      </c>
      <c r="T112" s="12" t="s">
        <v>40</v>
      </c>
      <c r="U112" s="12" t="s">
        <v>41</v>
      </c>
      <c r="V112" s="19" t="s">
        <v>212</v>
      </c>
      <c r="W112" s="26"/>
      <c r="X112" s="29" t="s">
        <v>41</v>
      </c>
      <c r="Y112" s="25" t="str">
        <f>VLOOKUP(Таблица2[[#This Row],[Номер заказа]],[1]!Таблица1[#Data],MATCH("Поставщик",[1]!Таблица1[#Headers],0),FALSE)</f>
        <v>АБСОЛЮТ ООО</v>
      </c>
      <c r="Z112" s="26" t="s">
        <v>213</v>
      </c>
      <c r="AA112" s="27">
        <f>VLOOKUP(Таблица2[[#This Row],[Номер заказа]],[1]!Таблица1[#Data],MATCH("Дата",[1]!Таблица1[#Headers],0),FALSE)+0</f>
        <v>45545</v>
      </c>
      <c r="AB112" s="28" t="str">
        <f>VLOOKUP(Таблица2[[#This Row],[Номер заказа]],[1]!Таблица1[#Data],MATCH("Валюта",[1]!Таблица1[#Headers],0),FALSE)</f>
        <v>руб.</v>
      </c>
      <c r="AC112" s="28">
        <f>_xlfn.XLOOKUP(Таблица2[[#This Row],[Номенклатура]],[1]!Таблица24[Наименование],[1]!Таблица24[Кол-во],"Нет на складе",0)</f>
        <v>2</v>
      </c>
    </row>
    <row r="113" spans="1:29" ht="14.25" customHeight="1" x14ac:dyDescent="0.2">
      <c r="A113" s="10" t="s">
        <v>214</v>
      </c>
      <c r="B113" s="11">
        <v>1</v>
      </c>
      <c r="C113" s="12"/>
      <c r="D113" s="13" t="s">
        <v>215</v>
      </c>
      <c r="E113" s="12"/>
      <c r="F113" s="14">
        <v>12</v>
      </c>
      <c r="G113" s="12"/>
      <c r="H113" s="15" t="s">
        <v>35</v>
      </c>
      <c r="I113" s="12"/>
      <c r="J113" s="16">
        <v>10690.37</v>
      </c>
      <c r="K113" s="16">
        <v>128284.44</v>
      </c>
      <c r="L113" s="17">
        <v>0.2</v>
      </c>
      <c r="M113" s="16">
        <v>21380.74</v>
      </c>
      <c r="N113" s="16">
        <v>128284.44</v>
      </c>
      <c r="O11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106903.7</v>
      </c>
      <c r="P113" s="12" t="s">
        <v>36</v>
      </c>
      <c r="Q113" s="12" t="s">
        <v>53</v>
      </c>
      <c r="R113" s="13" t="s">
        <v>216</v>
      </c>
      <c r="S113" s="18" t="s">
        <v>46</v>
      </c>
      <c r="T113" s="12" t="s">
        <v>40</v>
      </c>
      <c r="U113" s="12" t="s">
        <v>41</v>
      </c>
      <c r="V113" s="19"/>
      <c r="W113" s="12"/>
      <c r="X113" s="20" t="s">
        <v>41</v>
      </c>
      <c r="Y113" s="25" t="str">
        <f>VLOOKUP(Таблица2[[#This Row],[Номер заказа]],[1]!Таблица1[#Data],MATCH("Поставщик",[1]!Таблица1[#Headers],0),FALSE)</f>
        <v>МЕРИДИАН-ПЛАСТ ООО</v>
      </c>
      <c r="Z113" s="26" t="s">
        <v>65</v>
      </c>
      <c r="AA113" s="27">
        <f>VLOOKUP(Таблица2[[#This Row],[Номер заказа]],[1]!Таблица1[#Data],MATCH("Дата",[1]!Таблица1[#Headers],0),FALSE)+0</f>
        <v>45545</v>
      </c>
      <c r="AB113" s="28" t="str">
        <f>VLOOKUP(Таблица2[[#This Row],[Номер заказа]],[1]!Таблица1[#Data],MATCH("Валюта",[1]!Таблица1[#Headers],0),FALSE)</f>
        <v>руб.</v>
      </c>
      <c r="AC113" s="28">
        <f>_xlfn.XLOOKUP(Таблица2[[#This Row],[Номенклатура]],[1]!Таблица24[Наименование],[1]!Таблица24[Кол-во],"Нет на складе",0)</f>
        <v>12</v>
      </c>
    </row>
    <row r="114" spans="1:29" ht="14.25" customHeight="1" x14ac:dyDescent="0.2">
      <c r="A114" s="10" t="s">
        <v>217</v>
      </c>
      <c r="B114" s="11">
        <v>2</v>
      </c>
      <c r="C114" s="12"/>
      <c r="D114" s="13" t="s">
        <v>218</v>
      </c>
      <c r="E114" s="12"/>
      <c r="F114" s="14">
        <v>2</v>
      </c>
      <c r="G114" s="12"/>
      <c r="H114" s="15" t="s">
        <v>88</v>
      </c>
      <c r="I114" s="12"/>
      <c r="J114" s="16">
        <v>3000</v>
      </c>
      <c r="K114" s="16">
        <v>6000</v>
      </c>
      <c r="L114" s="17">
        <v>0.2</v>
      </c>
      <c r="M114" s="16">
        <v>1000</v>
      </c>
      <c r="N114" s="16">
        <v>6000</v>
      </c>
      <c r="O11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5000</v>
      </c>
      <c r="P114" s="12" t="s">
        <v>36</v>
      </c>
      <c r="Q114" s="12" t="s">
        <v>89</v>
      </c>
      <c r="R114" s="13" t="s">
        <v>90</v>
      </c>
      <c r="S114" s="18" t="s">
        <v>46</v>
      </c>
      <c r="T114" s="12" t="s">
        <v>40</v>
      </c>
      <c r="U114" s="12" t="s">
        <v>41</v>
      </c>
      <c r="V114" s="19"/>
      <c r="W114" s="12"/>
      <c r="X114" s="20" t="s">
        <v>41</v>
      </c>
      <c r="Y114" s="25" t="str">
        <f>VLOOKUP(Таблица2[[#This Row],[Номер заказа]],[1]!Таблица1[#Data],MATCH("Поставщик",[1]!Таблица1[#Headers],0),FALSE)</f>
        <v>ЭНЕРГОЦЕПЬ ООО</v>
      </c>
      <c r="Z114" s="26" t="s">
        <v>56</v>
      </c>
      <c r="AA114" s="27">
        <f>VLOOKUP(Таблица2[[#This Row],[Номер заказа]],[1]!Таблица1[#Data],MATCH("Дата",[1]!Таблица1[#Headers],0),FALSE)+0</f>
        <v>45553</v>
      </c>
      <c r="AB114" s="28" t="str">
        <f>VLOOKUP(Таблица2[[#This Row],[Номер заказа]],[1]!Таблица1[#Data],MATCH("Валюта",[1]!Таблица1[#Headers],0),FALSE)</f>
        <v>руб.</v>
      </c>
      <c r="AC114" s="28">
        <f>_xlfn.XLOOKUP(Таблица2[[#This Row],[Номенклатура]],[1]!Таблица24[Наименование],[1]!Таблица24[Кол-во],"Нет на складе",0)</f>
        <v>2</v>
      </c>
    </row>
    <row r="115" spans="1:29" ht="14.25" customHeight="1" x14ac:dyDescent="0.2">
      <c r="A115" s="10" t="s">
        <v>219</v>
      </c>
      <c r="B115" s="11">
        <v>1</v>
      </c>
      <c r="C115" s="12"/>
      <c r="D115" s="13" t="s">
        <v>220</v>
      </c>
      <c r="E115" s="12"/>
      <c r="F115" s="14">
        <v>24</v>
      </c>
      <c r="G115" s="12"/>
      <c r="H115" s="15" t="s">
        <v>35</v>
      </c>
      <c r="I115" s="12"/>
      <c r="J115" s="16">
        <v>28547.97</v>
      </c>
      <c r="K115" s="16">
        <v>685151.28</v>
      </c>
      <c r="L115" s="17">
        <v>0.2</v>
      </c>
      <c r="M115" s="16">
        <v>114191.88</v>
      </c>
      <c r="N115" s="16">
        <v>685151.28</v>
      </c>
      <c r="O11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570959.4</v>
      </c>
      <c r="P115" s="12" t="s">
        <v>36</v>
      </c>
      <c r="Q115" s="12" t="s">
        <v>53</v>
      </c>
      <c r="R115" s="13" t="s">
        <v>221</v>
      </c>
      <c r="S115" s="18" t="s">
        <v>46</v>
      </c>
      <c r="T115" s="12" t="s">
        <v>40</v>
      </c>
      <c r="U115" s="12" t="s">
        <v>41</v>
      </c>
      <c r="V115" s="19"/>
      <c r="W115" s="12"/>
      <c r="X115" s="20" t="s">
        <v>41</v>
      </c>
      <c r="Y115" s="25" t="str">
        <f>VLOOKUP(Таблица2[[#This Row],[Номер заказа]],[1]!Таблица1[#Data],MATCH("Поставщик",[1]!Таблица1[#Headers],0),FALSE)</f>
        <v>АВТОМАТИКА-СЕВЕР АО</v>
      </c>
      <c r="Z115" s="26" t="s">
        <v>200</v>
      </c>
      <c r="AA115" s="27">
        <f>VLOOKUP(Таблица2[[#This Row],[Номер заказа]],[1]!Таблица1[#Data],MATCH("Дата",[1]!Таблица1[#Headers],0),FALSE)+0</f>
        <v>45554</v>
      </c>
      <c r="AB115" s="28" t="str">
        <f>VLOOKUP(Таблица2[[#This Row],[Номер заказа]],[1]!Таблица1[#Data],MATCH("Валюта",[1]!Таблица1[#Headers],0),FALSE)</f>
        <v>руб.</v>
      </c>
      <c r="AC115" s="28">
        <f>_xlfn.XLOOKUP(Таблица2[[#This Row],[Номенклатура]],[1]!Таблица24[Наименование],[1]!Таблица24[Кол-во],"Нет на складе",0)</f>
        <v>24</v>
      </c>
    </row>
    <row r="116" spans="1:29" ht="14.25" customHeight="1" x14ac:dyDescent="0.2">
      <c r="A116" s="10" t="s">
        <v>91</v>
      </c>
      <c r="B116" s="11">
        <v>1</v>
      </c>
      <c r="C116" s="12"/>
      <c r="D116" s="13" t="s">
        <v>222</v>
      </c>
      <c r="E116" s="12"/>
      <c r="F116" s="14">
        <v>4</v>
      </c>
      <c r="G116" s="12"/>
      <c r="H116" s="15" t="s">
        <v>35</v>
      </c>
      <c r="I116" s="12"/>
      <c r="J116" s="16">
        <v>41.11</v>
      </c>
      <c r="K116" s="16">
        <v>164.44</v>
      </c>
      <c r="L116" s="17">
        <v>0.2</v>
      </c>
      <c r="M116" s="16">
        <v>32.89</v>
      </c>
      <c r="N116" s="16">
        <v>197.33</v>
      </c>
      <c r="O11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16444</v>
      </c>
      <c r="P116" s="12" t="s">
        <v>36</v>
      </c>
      <c r="Q116" s="12" t="s">
        <v>89</v>
      </c>
      <c r="R116" s="13" t="s">
        <v>93</v>
      </c>
      <c r="S116" s="18" t="s">
        <v>46</v>
      </c>
      <c r="T116" s="12" t="s">
        <v>40</v>
      </c>
      <c r="U116" s="12" t="s">
        <v>47</v>
      </c>
      <c r="V116" s="19"/>
      <c r="W116" s="12"/>
      <c r="X116" s="20" t="s">
        <v>41</v>
      </c>
      <c r="Y116" s="25" t="str">
        <f>VLOOKUP(Таблица2[[#This Row],[Номер заказа]],[1]!Таблица1[#Data],MATCH("Поставщик",[1]!Таблица1[#Headers],0),FALSE)</f>
        <v>КБ РАСКАТ ООО</v>
      </c>
      <c r="Z116" s="26" t="s">
        <v>56</v>
      </c>
      <c r="AA116" s="27">
        <f>VLOOKUP(Таблица2[[#This Row],[Номер заказа]],[1]!Таблица1[#Data],MATCH("Дата",[1]!Таблица1[#Headers],0),FALSE)+0</f>
        <v>45554</v>
      </c>
      <c r="AB116" s="28" t="str">
        <f>VLOOKUP(Таблица2[[#This Row],[Номер заказа]],[1]!Таблица1[#Data],MATCH("Валюта",[1]!Таблица1[#Headers],0),FALSE)</f>
        <v>EUR</v>
      </c>
      <c r="AC116" s="28">
        <f>_xlfn.XLOOKUP(Таблица2[[#This Row],[Номенклатура]],[1]!Таблица24[Наименование],[1]!Таблица24[Кол-во],"Нет на складе",0)</f>
        <v>4</v>
      </c>
    </row>
    <row r="117" spans="1:29" ht="14.25" customHeight="1" x14ac:dyDescent="0.2">
      <c r="A117" s="10" t="s">
        <v>91</v>
      </c>
      <c r="B117" s="11">
        <v>2</v>
      </c>
      <c r="C117" s="12"/>
      <c r="D117" s="13" t="s">
        <v>223</v>
      </c>
      <c r="E117" s="12"/>
      <c r="F117" s="14">
        <v>2</v>
      </c>
      <c r="G117" s="12"/>
      <c r="H117" s="15" t="s">
        <v>35</v>
      </c>
      <c r="I117" s="12"/>
      <c r="J117" s="16">
        <v>22.84</v>
      </c>
      <c r="K117" s="16">
        <v>45.68</v>
      </c>
      <c r="L117" s="17">
        <v>0.2</v>
      </c>
      <c r="M117" s="16">
        <v>9.14</v>
      </c>
      <c r="N117" s="16">
        <v>54.82</v>
      </c>
      <c r="O11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4568</v>
      </c>
      <c r="P117" s="12" t="s">
        <v>36</v>
      </c>
      <c r="Q117" s="12" t="s">
        <v>89</v>
      </c>
      <c r="R117" s="13" t="s">
        <v>93</v>
      </c>
      <c r="S117" s="18" t="s">
        <v>46</v>
      </c>
      <c r="T117" s="12" t="s">
        <v>40</v>
      </c>
      <c r="U117" s="12" t="s">
        <v>47</v>
      </c>
      <c r="V117" s="19"/>
      <c r="W117" s="12"/>
      <c r="X117" s="20" t="s">
        <v>41</v>
      </c>
      <c r="Y117" s="25" t="str">
        <f>VLOOKUP(Таблица2[[#This Row],[Номер заказа]],[1]!Таблица1[#Data],MATCH("Поставщик",[1]!Таблица1[#Headers],0),FALSE)</f>
        <v>КБ РАСКАТ ООО</v>
      </c>
      <c r="Z117" s="26" t="s">
        <v>56</v>
      </c>
      <c r="AA117" s="27">
        <f>VLOOKUP(Таблица2[[#This Row],[Номер заказа]],[1]!Таблица1[#Data],MATCH("Дата",[1]!Таблица1[#Headers],0),FALSE)+0</f>
        <v>45554</v>
      </c>
      <c r="AB117" s="28" t="str">
        <f>VLOOKUP(Таблица2[[#This Row],[Номер заказа]],[1]!Таблица1[#Data],MATCH("Валюта",[1]!Таблица1[#Headers],0),FALSE)</f>
        <v>EUR</v>
      </c>
      <c r="AC117" s="28">
        <f>_xlfn.XLOOKUP(Таблица2[[#This Row],[Номенклатура]],[1]!Таблица24[Наименование],[1]!Таблица24[Кол-во],"Нет на складе",0)</f>
        <v>1</v>
      </c>
    </row>
    <row r="118" spans="1:29" ht="14.25" customHeight="1" x14ac:dyDescent="0.2">
      <c r="A118" s="10" t="s">
        <v>91</v>
      </c>
      <c r="B118" s="11">
        <v>3</v>
      </c>
      <c r="C118" s="12"/>
      <c r="D118" s="13" t="s">
        <v>224</v>
      </c>
      <c r="E118" s="12"/>
      <c r="F118" s="14">
        <v>2</v>
      </c>
      <c r="G118" s="12"/>
      <c r="H118" s="15" t="s">
        <v>35</v>
      </c>
      <c r="I118" s="12"/>
      <c r="J118" s="16">
        <v>10.210000000000001</v>
      </c>
      <c r="K118" s="16">
        <v>20.420000000000002</v>
      </c>
      <c r="L118" s="17">
        <v>0.2</v>
      </c>
      <c r="M118" s="16">
        <v>4.08</v>
      </c>
      <c r="N118" s="16">
        <v>24.5</v>
      </c>
      <c r="O11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2042.0000000000002</v>
      </c>
      <c r="P118" s="12" t="s">
        <v>36</v>
      </c>
      <c r="Q118" s="12" t="s">
        <v>89</v>
      </c>
      <c r="R118" s="13" t="s">
        <v>93</v>
      </c>
      <c r="S118" s="18" t="s">
        <v>46</v>
      </c>
      <c r="T118" s="12" t="s">
        <v>40</v>
      </c>
      <c r="U118" s="12" t="s">
        <v>47</v>
      </c>
      <c r="V118" s="19"/>
      <c r="W118" s="12"/>
      <c r="X118" s="20" t="s">
        <v>41</v>
      </c>
      <c r="Y118" s="25" t="str">
        <f>VLOOKUP(Таблица2[[#This Row],[Номер заказа]],[1]!Таблица1[#Data],MATCH("Поставщик",[1]!Таблица1[#Headers],0),FALSE)</f>
        <v>КБ РАСКАТ ООО</v>
      </c>
      <c r="Z118" s="26" t="s">
        <v>56</v>
      </c>
      <c r="AA118" s="27">
        <f>VLOOKUP(Таблица2[[#This Row],[Номер заказа]],[1]!Таблица1[#Data],MATCH("Дата",[1]!Таблица1[#Headers],0),FALSE)+0</f>
        <v>45554</v>
      </c>
      <c r="AB118" s="28" t="str">
        <f>VLOOKUP(Таблица2[[#This Row],[Номер заказа]],[1]!Таблица1[#Data],MATCH("Валюта",[1]!Таблица1[#Headers],0),FALSE)</f>
        <v>EUR</v>
      </c>
      <c r="AC118" s="28">
        <f>_xlfn.XLOOKUP(Таблица2[[#This Row],[Номенклатура]],[1]!Таблица24[Наименование],[1]!Таблица24[Кол-во],"Нет на складе",0)</f>
        <v>1</v>
      </c>
    </row>
    <row r="119" spans="1:29" ht="14.25" customHeight="1" x14ac:dyDescent="0.2">
      <c r="A119" s="10" t="s">
        <v>91</v>
      </c>
      <c r="B119" s="11">
        <v>4</v>
      </c>
      <c r="C119" s="12"/>
      <c r="D119" s="13" t="s">
        <v>225</v>
      </c>
      <c r="E119" s="12"/>
      <c r="F119" s="14">
        <v>2</v>
      </c>
      <c r="G119" s="12"/>
      <c r="H119" s="15" t="s">
        <v>35</v>
      </c>
      <c r="I119" s="12"/>
      <c r="J119" s="16">
        <v>10.210000000000001</v>
      </c>
      <c r="K119" s="16">
        <v>20.420000000000002</v>
      </c>
      <c r="L119" s="17">
        <v>0.2</v>
      </c>
      <c r="M119" s="16">
        <v>4.08</v>
      </c>
      <c r="N119" s="16">
        <v>24.5</v>
      </c>
      <c r="O11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2042.0000000000002</v>
      </c>
      <c r="P119" s="12" t="s">
        <v>36</v>
      </c>
      <c r="Q119" s="12" t="s">
        <v>89</v>
      </c>
      <c r="R119" s="13" t="s">
        <v>93</v>
      </c>
      <c r="S119" s="18" t="s">
        <v>46</v>
      </c>
      <c r="T119" s="12" t="s">
        <v>40</v>
      </c>
      <c r="U119" s="12" t="s">
        <v>47</v>
      </c>
      <c r="V119" s="19"/>
      <c r="W119" s="12"/>
      <c r="X119" s="20" t="s">
        <v>41</v>
      </c>
      <c r="Y119" s="25" t="str">
        <f>VLOOKUP(Таблица2[[#This Row],[Номер заказа]],[1]!Таблица1[#Data],MATCH("Поставщик",[1]!Таблица1[#Headers],0),FALSE)</f>
        <v>КБ РАСКАТ ООО</v>
      </c>
      <c r="Z119" s="26" t="s">
        <v>56</v>
      </c>
      <c r="AA119" s="27">
        <f>VLOOKUP(Таблица2[[#This Row],[Номер заказа]],[1]!Таблица1[#Data],MATCH("Дата",[1]!Таблица1[#Headers],0),FALSE)+0</f>
        <v>45554</v>
      </c>
      <c r="AB119" s="28" t="str">
        <f>VLOOKUP(Таблица2[[#This Row],[Номер заказа]],[1]!Таблица1[#Data],MATCH("Валюта",[1]!Таблица1[#Headers],0),FALSE)</f>
        <v>EUR</v>
      </c>
      <c r="AC119" s="28">
        <f>_xlfn.XLOOKUP(Таблица2[[#This Row],[Номенклатура]],[1]!Таблица24[Наименование],[1]!Таблица24[Кол-во],"Нет на складе",0)</f>
        <v>1</v>
      </c>
    </row>
    <row r="120" spans="1:29" ht="14.25" customHeight="1" x14ac:dyDescent="0.2">
      <c r="A120" s="10" t="s">
        <v>91</v>
      </c>
      <c r="B120" s="11">
        <v>5</v>
      </c>
      <c r="C120" s="12"/>
      <c r="D120" s="13" t="s">
        <v>226</v>
      </c>
      <c r="E120" s="12"/>
      <c r="F120" s="14">
        <v>4</v>
      </c>
      <c r="G120" s="12"/>
      <c r="H120" s="15" t="s">
        <v>35</v>
      </c>
      <c r="I120" s="12"/>
      <c r="J120" s="16">
        <v>8.93</v>
      </c>
      <c r="K120" s="16">
        <v>35.72</v>
      </c>
      <c r="L120" s="17">
        <v>0.2</v>
      </c>
      <c r="M120" s="16">
        <v>7.14</v>
      </c>
      <c r="N120" s="16">
        <v>42.86</v>
      </c>
      <c r="O12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3572</v>
      </c>
      <c r="P120" s="12" t="s">
        <v>36</v>
      </c>
      <c r="Q120" s="12" t="s">
        <v>89</v>
      </c>
      <c r="R120" s="13" t="s">
        <v>93</v>
      </c>
      <c r="S120" s="18" t="s">
        <v>46</v>
      </c>
      <c r="T120" s="12" t="s">
        <v>40</v>
      </c>
      <c r="U120" s="12" t="s">
        <v>47</v>
      </c>
      <c r="V120" s="19"/>
      <c r="W120" s="12"/>
      <c r="X120" s="20" t="s">
        <v>41</v>
      </c>
      <c r="Y120" s="25" t="str">
        <f>VLOOKUP(Таблица2[[#This Row],[Номер заказа]],[1]!Таблица1[#Data],MATCH("Поставщик",[1]!Таблица1[#Headers],0),FALSE)</f>
        <v>КБ РАСКАТ ООО</v>
      </c>
      <c r="Z120" s="26" t="s">
        <v>56</v>
      </c>
      <c r="AA120" s="27">
        <f>VLOOKUP(Таблица2[[#This Row],[Номер заказа]],[1]!Таблица1[#Data],MATCH("Дата",[1]!Таблица1[#Headers],0),FALSE)+0</f>
        <v>45554</v>
      </c>
      <c r="AB120" s="28" t="str">
        <f>VLOOKUP(Таблица2[[#This Row],[Номер заказа]],[1]!Таблица1[#Data],MATCH("Валюта",[1]!Таблица1[#Headers],0),FALSE)</f>
        <v>EUR</v>
      </c>
      <c r="AC120" s="28">
        <f>_xlfn.XLOOKUP(Таблица2[[#This Row],[Номенклатура]],[1]!Таблица24[Наименование],[1]!Таблица24[Кол-во],"Нет на складе",0)</f>
        <v>4</v>
      </c>
    </row>
    <row r="121" spans="1:29" ht="14.25" customHeight="1" x14ac:dyDescent="0.2">
      <c r="A121" s="10" t="s">
        <v>91</v>
      </c>
      <c r="B121" s="11">
        <v>6</v>
      </c>
      <c r="C121" s="12"/>
      <c r="D121" s="13" t="s">
        <v>227</v>
      </c>
      <c r="E121" s="12"/>
      <c r="F121" s="14">
        <v>4</v>
      </c>
      <c r="G121" s="12"/>
      <c r="H121" s="15" t="s">
        <v>35</v>
      </c>
      <c r="I121" s="12"/>
      <c r="J121" s="16">
        <v>8.93</v>
      </c>
      <c r="K121" s="16">
        <v>35.72</v>
      </c>
      <c r="L121" s="17">
        <v>0.2</v>
      </c>
      <c r="M121" s="16">
        <v>7.14</v>
      </c>
      <c r="N121" s="16">
        <v>42.86</v>
      </c>
      <c r="O12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3572</v>
      </c>
      <c r="P121" s="12" t="s">
        <v>36</v>
      </c>
      <c r="Q121" s="12" t="s">
        <v>89</v>
      </c>
      <c r="R121" s="13" t="s">
        <v>93</v>
      </c>
      <c r="S121" s="18" t="s">
        <v>46</v>
      </c>
      <c r="T121" s="12" t="s">
        <v>40</v>
      </c>
      <c r="U121" s="12" t="s">
        <v>47</v>
      </c>
      <c r="V121" s="19"/>
      <c r="W121" s="12"/>
      <c r="X121" s="20" t="s">
        <v>41</v>
      </c>
      <c r="Y121" s="25" t="str">
        <f>VLOOKUP(Таблица2[[#This Row],[Номер заказа]],[1]!Таблица1[#Data],MATCH("Поставщик",[1]!Таблица1[#Headers],0),FALSE)</f>
        <v>КБ РАСКАТ ООО</v>
      </c>
      <c r="Z121" s="26" t="s">
        <v>56</v>
      </c>
      <c r="AA121" s="27">
        <f>VLOOKUP(Таблица2[[#This Row],[Номер заказа]],[1]!Таблица1[#Data],MATCH("Дата",[1]!Таблица1[#Headers],0),FALSE)+0</f>
        <v>45554</v>
      </c>
      <c r="AB121" s="28" t="str">
        <f>VLOOKUP(Таблица2[[#This Row],[Номер заказа]],[1]!Таблица1[#Data],MATCH("Валюта",[1]!Таблица1[#Headers],0),FALSE)</f>
        <v>EUR</v>
      </c>
      <c r="AC121" s="28">
        <f>_xlfn.XLOOKUP(Таблица2[[#This Row],[Номенклатура]],[1]!Таблица24[Наименование],[1]!Таблица24[Кол-во],"Нет на складе",0)</f>
        <v>4</v>
      </c>
    </row>
    <row r="122" spans="1:29" ht="14.25" customHeight="1" x14ac:dyDescent="0.2">
      <c r="A122" s="10" t="s">
        <v>228</v>
      </c>
      <c r="B122" s="11">
        <v>1</v>
      </c>
      <c r="C122" s="12"/>
      <c r="D122" s="13" t="s">
        <v>229</v>
      </c>
      <c r="E122" s="12"/>
      <c r="F122" s="14">
        <v>8</v>
      </c>
      <c r="G122" s="12"/>
      <c r="H122" s="15" t="s">
        <v>35</v>
      </c>
      <c r="I122" s="12"/>
      <c r="J122" s="16">
        <v>7546.74</v>
      </c>
      <c r="K122" s="16">
        <v>60373.919999999998</v>
      </c>
      <c r="L122" s="17">
        <v>0.2</v>
      </c>
      <c r="M122" s="16">
        <v>10062.32</v>
      </c>
      <c r="N122" s="16">
        <v>60373.919999999998</v>
      </c>
      <c r="O12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50311.6</v>
      </c>
      <c r="P122" s="12" t="s">
        <v>36</v>
      </c>
      <c r="Q122" s="12"/>
      <c r="R122" s="13" t="s">
        <v>230</v>
      </c>
      <c r="S122" s="18" t="s">
        <v>46</v>
      </c>
      <c r="T122" s="12"/>
      <c r="U122" s="12" t="s">
        <v>41</v>
      </c>
      <c r="V122" s="19"/>
      <c r="W122" s="12"/>
      <c r="X122" s="20" t="s">
        <v>41</v>
      </c>
      <c r="Y122" s="25" t="str">
        <f>VLOOKUP(Таблица2[[#This Row],[Номер заказа]],[1]!Таблица1[#Data],MATCH("Поставщик",[1]!Таблица1[#Headers],0),FALSE)</f>
        <v>МЕРИДИАН-ПЛАСТ ООО</v>
      </c>
      <c r="Z122" s="26" t="s">
        <v>56</v>
      </c>
      <c r="AA122" s="27">
        <f>VLOOKUP(Таблица2[[#This Row],[Номер заказа]],[1]!Таблица1[#Data],MATCH("Дата",[1]!Таблица1[#Headers],0),FALSE)+0</f>
        <v>45559</v>
      </c>
      <c r="AB122" s="28" t="str">
        <f>VLOOKUP(Таблица2[[#This Row],[Номер заказа]],[1]!Таблица1[#Data],MATCH("Валюта",[1]!Таблица1[#Headers],0),FALSE)</f>
        <v>руб.</v>
      </c>
      <c r="AC122" s="28">
        <f>_xlfn.XLOOKUP(Таблица2[[#This Row],[Номенклатура]],[1]!Таблица24[Наименование],[1]!Таблица24[Кол-во],"Нет на складе",0)</f>
        <v>8</v>
      </c>
    </row>
    <row r="123" spans="1:29" ht="14.25" customHeight="1" x14ac:dyDescent="0.2">
      <c r="A123" s="10" t="s">
        <v>231</v>
      </c>
      <c r="B123" s="11">
        <v>1</v>
      </c>
      <c r="C123" s="12"/>
      <c r="D123" s="13" t="s">
        <v>232</v>
      </c>
      <c r="E123" s="12"/>
      <c r="F123" s="14">
        <v>10</v>
      </c>
      <c r="G123" s="12"/>
      <c r="H123" s="15" t="s">
        <v>35</v>
      </c>
      <c r="I123" s="12"/>
      <c r="J123" s="16">
        <v>29400</v>
      </c>
      <c r="K123" s="16">
        <v>294000</v>
      </c>
      <c r="L123" s="17">
        <v>0.2</v>
      </c>
      <c r="M123" s="16">
        <v>49000</v>
      </c>
      <c r="N123" s="16">
        <v>294000</v>
      </c>
      <c r="O12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245000</v>
      </c>
      <c r="P123" s="12" t="s">
        <v>36</v>
      </c>
      <c r="Q123" s="12" t="s">
        <v>119</v>
      </c>
      <c r="R123" s="13" t="s">
        <v>233</v>
      </c>
      <c r="S123" s="18" t="s">
        <v>46</v>
      </c>
      <c r="T123" s="12" t="s">
        <v>40</v>
      </c>
      <c r="U123" s="12" t="s">
        <v>41</v>
      </c>
      <c r="V123" s="19"/>
      <c r="W123" s="12"/>
      <c r="X123" s="20" t="s">
        <v>41</v>
      </c>
      <c r="Y123" s="25" t="str">
        <f>VLOOKUP(Таблица2[[#This Row],[Номер заказа]],[1]!Таблица1[#Data],MATCH("Поставщик",[1]!Таблица1[#Headers],0),FALSE)</f>
        <v>ПТК ГИДРОФОРС ООО</v>
      </c>
      <c r="Z123" s="26" t="s">
        <v>65</v>
      </c>
      <c r="AA123" s="27">
        <f>VLOOKUP(Таблица2[[#This Row],[Номер заказа]],[1]!Таблица1[#Data],MATCH("Дата",[1]!Таблица1[#Headers],0),FALSE)+0</f>
        <v>45558</v>
      </c>
      <c r="AB123" s="28" t="str">
        <f>VLOOKUP(Таблица2[[#This Row],[Номер заказа]],[1]!Таблица1[#Data],MATCH("Валюта",[1]!Таблица1[#Headers],0),FALSE)</f>
        <v>руб.</v>
      </c>
      <c r="AC123" s="28">
        <f>_xlfn.XLOOKUP(Таблица2[[#This Row],[Номенклатура]],[1]!Таблица24[Наименование],[1]!Таблица24[Кол-во],"Нет на складе",0)</f>
        <v>10</v>
      </c>
    </row>
    <row r="124" spans="1:29" ht="14.25" customHeight="1" x14ac:dyDescent="0.2">
      <c r="A124" s="10" t="s">
        <v>231</v>
      </c>
      <c r="B124" s="11">
        <v>2</v>
      </c>
      <c r="C124" s="12"/>
      <c r="D124" s="13" t="s">
        <v>234</v>
      </c>
      <c r="E124" s="12"/>
      <c r="F124" s="14">
        <v>4</v>
      </c>
      <c r="G124" s="12"/>
      <c r="H124" s="15" t="s">
        <v>35</v>
      </c>
      <c r="I124" s="12"/>
      <c r="J124" s="16">
        <v>49300</v>
      </c>
      <c r="K124" s="16">
        <v>197200</v>
      </c>
      <c r="L124" s="17">
        <v>0.2</v>
      </c>
      <c r="M124" s="16">
        <v>32866.67</v>
      </c>
      <c r="N124" s="16">
        <v>197200</v>
      </c>
      <c r="O12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164333.33000000002</v>
      </c>
      <c r="P124" s="12" t="s">
        <v>36</v>
      </c>
      <c r="Q124" s="12" t="s">
        <v>119</v>
      </c>
      <c r="R124" s="13" t="s">
        <v>235</v>
      </c>
      <c r="S124" s="18" t="s">
        <v>46</v>
      </c>
      <c r="T124" s="12" t="s">
        <v>40</v>
      </c>
      <c r="U124" s="12" t="s">
        <v>41</v>
      </c>
      <c r="V124" s="19"/>
      <c r="W124" s="12"/>
      <c r="X124" s="20" t="s">
        <v>41</v>
      </c>
      <c r="Y124" s="25" t="str">
        <f>VLOOKUP(Таблица2[[#This Row],[Номер заказа]],[1]!Таблица1[#Data],MATCH("Поставщик",[1]!Таблица1[#Headers],0),FALSE)</f>
        <v>ПТК ГИДРОФОРС ООО</v>
      </c>
      <c r="Z124" s="26" t="s">
        <v>65</v>
      </c>
      <c r="AA124" s="27">
        <f>VLOOKUP(Таблица2[[#This Row],[Номер заказа]],[1]!Таблица1[#Data],MATCH("Дата",[1]!Таблица1[#Headers],0),FALSE)+0</f>
        <v>45558</v>
      </c>
      <c r="AB124" s="28" t="str">
        <f>VLOOKUP(Таблица2[[#This Row],[Номер заказа]],[1]!Таблица1[#Data],MATCH("Валюта",[1]!Таблица1[#Headers],0),FALSE)</f>
        <v>руб.</v>
      </c>
      <c r="AC124" s="28">
        <f>_xlfn.XLOOKUP(Таблица2[[#This Row],[Номенклатура]],[1]!Таблица24[Наименование],[1]!Таблица24[Кол-во],"Нет на складе",0)</f>
        <v>4</v>
      </c>
    </row>
    <row r="125" spans="1:29" ht="14.25" customHeight="1" x14ac:dyDescent="0.2">
      <c r="A125" s="10" t="s">
        <v>236</v>
      </c>
      <c r="B125" s="11">
        <v>1</v>
      </c>
      <c r="C125" s="12"/>
      <c r="D125" s="13" t="s">
        <v>237</v>
      </c>
      <c r="E125" s="12"/>
      <c r="F125" s="14">
        <v>4</v>
      </c>
      <c r="G125" s="12"/>
      <c r="H125" s="15" t="s">
        <v>35</v>
      </c>
      <c r="I125" s="12"/>
      <c r="J125" s="16">
        <v>490000</v>
      </c>
      <c r="K125" s="16">
        <v>1960000</v>
      </c>
      <c r="L125" s="17">
        <v>0.2</v>
      </c>
      <c r="M125" s="16">
        <v>326666.67</v>
      </c>
      <c r="N125" s="16">
        <v>1960000</v>
      </c>
      <c r="O12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1633333.33</v>
      </c>
      <c r="P125" s="12" t="s">
        <v>36</v>
      </c>
      <c r="Q125" s="12" t="s">
        <v>53</v>
      </c>
      <c r="R125" s="13" t="s">
        <v>238</v>
      </c>
      <c r="S125" s="18" t="s">
        <v>46</v>
      </c>
      <c r="T125" s="12" t="s">
        <v>40</v>
      </c>
      <c r="U125" s="12" t="s">
        <v>41</v>
      </c>
      <c r="V125" s="19"/>
      <c r="W125" s="12"/>
      <c r="X125" s="20" t="s">
        <v>41</v>
      </c>
      <c r="Y125" s="25" t="str">
        <f>VLOOKUP(Таблица2[[#This Row],[Номер заказа]],[1]!Таблица1[#Data],MATCH("Поставщик",[1]!Таблица1[#Headers],0),FALSE)</f>
        <v>ГИДРАВЛИКСЕРВИС ООО</v>
      </c>
      <c r="Z125" s="26" t="s">
        <v>65</v>
      </c>
      <c r="AA125" s="27">
        <f>VLOOKUP(Таблица2[[#This Row],[Номер заказа]],[1]!Таблица1[#Data],MATCH("Дата",[1]!Таблица1[#Headers],0),FALSE)+0</f>
        <v>45559</v>
      </c>
      <c r="AB125" s="28" t="str">
        <f>VLOOKUP(Таблица2[[#This Row],[Номер заказа]],[1]!Таблица1[#Data],MATCH("Валюта",[1]!Таблица1[#Headers],0),FALSE)</f>
        <v>руб.</v>
      </c>
      <c r="AC125" s="28">
        <f>_xlfn.XLOOKUP(Таблица2[[#This Row],[Номенклатура]],[1]!Таблица24[Наименование],[1]!Таблица24[Кол-во],"Нет на складе",0)</f>
        <v>4</v>
      </c>
    </row>
    <row r="126" spans="1:29" ht="14.25" customHeight="1" x14ac:dyDescent="0.2">
      <c r="A126" s="10" t="s">
        <v>239</v>
      </c>
      <c r="B126" s="11">
        <v>1</v>
      </c>
      <c r="C126" s="12"/>
      <c r="D126" s="13" t="s">
        <v>240</v>
      </c>
      <c r="E126" s="12"/>
      <c r="F126" s="14">
        <v>4</v>
      </c>
      <c r="G126" s="12"/>
      <c r="H126" s="15" t="s">
        <v>35</v>
      </c>
      <c r="I126" s="12"/>
      <c r="J126" s="16">
        <v>120000</v>
      </c>
      <c r="K126" s="16">
        <v>480000</v>
      </c>
      <c r="L126" s="17">
        <v>0.2</v>
      </c>
      <c r="M126" s="16">
        <v>80000</v>
      </c>
      <c r="N126" s="16">
        <v>480000</v>
      </c>
      <c r="O12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400000</v>
      </c>
      <c r="P126" s="12" t="s">
        <v>36</v>
      </c>
      <c r="Q126" s="12" t="s">
        <v>53</v>
      </c>
      <c r="R126" s="13" t="s">
        <v>241</v>
      </c>
      <c r="S126" s="18" t="s">
        <v>46</v>
      </c>
      <c r="T126" s="12" t="s">
        <v>40</v>
      </c>
      <c r="U126" s="12" t="s">
        <v>41</v>
      </c>
      <c r="V126" s="19" t="s">
        <v>242</v>
      </c>
      <c r="W126" s="26"/>
      <c r="X126" s="29" t="s">
        <v>41</v>
      </c>
      <c r="Y126" s="25" t="str">
        <f>VLOOKUP(Таблица2[[#This Row],[Номер заказа]],[1]!Таблица1[#Data],MATCH("Поставщик",[1]!Таблица1[#Headers],0),FALSE)</f>
        <v>ГИДРАВЛИКСЕРВИС ООО</v>
      </c>
      <c r="Z126" s="26" t="s">
        <v>65</v>
      </c>
      <c r="AA126" s="27">
        <f>VLOOKUP(Таблица2[[#This Row],[Номер заказа]],[1]!Таблица1[#Data],MATCH("Дата",[1]!Таблица1[#Headers],0),FALSE)+0</f>
        <v>45559</v>
      </c>
      <c r="AB126" s="28" t="str">
        <f>VLOOKUP(Таблица2[[#This Row],[Номер заказа]],[1]!Таблица1[#Data],MATCH("Валюта",[1]!Таблица1[#Headers],0),FALSE)</f>
        <v>руб.</v>
      </c>
      <c r="AC126" s="28">
        <f>_xlfn.XLOOKUP(Таблица2[[#This Row],[Номенклатура]],[1]!Таблица24[Наименование],[1]!Таблица24[Кол-во],"Нет на складе",0)</f>
        <v>4</v>
      </c>
    </row>
    <row r="127" spans="1:29" ht="14.25" customHeight="1" x14ac:dyDescent="0.2">
      <c r="A127" s="10" t="s">
        <v>243</v>
      </c>
      <c r="B127" s="11">
        <v>1</v>
      </c>
      <c r="C127" s="12"/>
      <c r="D127" s="13" t="s">
        <v>244</v>
      </c>
      <c r="E127" s="12"/>
      <c r="F127" s="14">
        <v>1</v>
      </c>
      <c r="G127" s="12"/>
      <c r="H127" s="15" t="s">
        <v>35</v>
      </c>
      <c r="I127" s="12"/>
      <c r="J127" s="16">
        <v>5465</v>
      </c>
      <c r="K127" s="16">
        <v>5465</v>
      </c>
      <c r="L127" s="17">
        <v>0.2</v>
      </c>
      <c r="M127" s="16">
        <v>910.83</v>
      </c>
      <c r="N127" s="16">
        <v>5465</v>
      </c>
      <c r="O12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4554.17</v>
      </c>
      <c r="P127" s="12" t="s">
        <v>36</v>
      </c>
      <c r="Q127" s="12" t="s">
        <v>80</v>
      </c>
      <c r="R127" s="18" t="s">
        <v>138</v>
      </c>
      <c r="S127" s="18" t="s">
        <v>46</v>
      </c>
      <c r="T127" s="12" t="s">
        <v>40</v>
      </c>
      <c r="U127" s="12" t="s">
        <v>41</v>
      </c>
      <c r="V127" s="19"/>
      <c r="W127" s="12"/>
      <c r="X127" s="20" t="s">
        <v>41</v>
      </c>
      <c r="Y127" s="25" t="str">
        <f>VLOOKUP(Таблица2[[#This Row],[Номер заказа]],[1]!Таблица1[#Data],MATCH("Поставщик",[1]!Таблица1[#Headers],0),FALSE)</f>
        <v>ВСЕИНСТРУМЕНТЫ.РУ ООО</v>
      </c>
      <c r="Z127" s="26" t="s">
        <v>132</v>
      </c>
      <c r="AA127" s="27">
        <f>VLOOKUP(Таблица2[[#This Row],[Номер заказа]],[1]!Таблица1[#Data],MATCH("Дата",[1]!Таблица1[#Headers],0),FALSE)+0</f>
        <v>45560</v>
      </c>
      <c r="AB127" s="28" t="str">
        <f>VLOOKUP(Таблица2[[#This Row],[Номер заказа]],[1]!Таблица1[#Data],MATCH("Валюта",[1]!Таблица1[#Headers],0),FALSE)</f>
        <v>руб.</v>
      </c>
      <c r="AC127" s="28">
        <f>_xlfn.XLOOKUP(Таблица2[[#This Row],[Номенклатура]],[1]!Таблица24[Наименование],[1]!Таблица24[Кол-во],"Нет на складе",0)</f>
        <v>1</v>
      </c>
    </row>
    <row r="128" spans="1:29" ht="14.25" customHeight="1" x14ac:dyDescent="0.2">
      <c r="A128" s="10" t="s">
        <v>245</v>
      </c>
      <c r="B128" s="11">
        <v>1</v>
      </c>
      <c r="C128" s="12"/>
      <c r="D128" s="13" t="s">
        <v>246</v>
      </c>
      <c r="E128" s="12"/>
      <c r="F128" s="14">
        <v>2</v>
      </c>
      <c r="G128" s="12"/>
      <c r="H128" s="15" t="s">
        <v>35</v>
      </c>
      <c r="I128" s="12"/>
      <c r="J128" s="16">
        <v>29591.87</v>
      </c>
      <c r="K128" s="16">
        <v>59183.74</v>
      </c>
      <c r="L128" s="17">
        <v>0.2</v>
      </c>
      <c r="M128" s="16">
        <v>9863.9599999999991</v>
      </c>
      <c r="N128" s="16">
        <v>59183.74</v>
      </c>
      <c r="O12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49319.78</v>
      </c>
      <c r="P128" s="12" t="s">
        <v>36</v>
      </c>
      <c r="Q128" s="12" t="s">
        <v>80</v>
      </c>
      <c r="R128" s="13" t="s">
        <v>247</v>
      </c>
      <c r="S128" s="18" t="s">
        <v>46</v>
      </c>
      <c r="T128" s="12" t="s">
        <v>40</v>
      </c>
      <c r="U128" s="12" t="s">
        <v>41</v>
      </c>
      <c r="V128" s="19"/>
      <c r="W128" s="12"/>
      <c r="X128" s="20" t="s">
        <v>41</v>
      </c>
      <c r="Y128" s="25" t="str">
        <f>VLOOKUP(Таблица2[[#This Row],[Номер заказа]],[1]!Таблица1[#Data],MATCH("Поставщик",[1]!Таблица1[#Headers],0),FALSE)</f>
        <v>АМПЕРАЖ ООО</v>
      </c>
      <c r="Z128" s="26" t="s">
        <v>65</v>
      </c>
      <c r="AA128" s="27">
        <f>VLOOKUP(Таблица2[[#This Row],[Номер заказа]],[1]!Таблица1[#Data],MATCH("Дата",[1]!Таблица1[#Headers],0),FALSE)+0</f>
        <v>45561</v>
      </c>
      <c r="AB128" s="28" t="str">
        <f>VLOOKUP(Таблица2[[#This Row],[Номер заказа]],[1]!Таблица1[#Data],MATCH("Валюта",[1]!Таблица1[#Headers],0),FALSE)</f>
        <v>руб.</v>
      </c>
      <c r="AC128" s="28">
        <f>_xlfn.XLOOKUP(Таблица2[[#This Row],[Номенклатура]],[1]!Таблица24[Наименование],[1]!Таблица24[Кол-во],"Нет на складе",0)</f>
        <v>2</v>
      </c>
    </row>
    <row r="129" spans="1:29" ht="14.25" customHeight="1" x14ac:dyDescent="0.2">
      <c r="A129" s="10" t="s">
        <v>245</v>
      </c>
      <c r="B129" s="11">
        <v>2</v>
      </c>
      <c r="C129" s="12"/>
      <c r="D129" s="13" t="s">
        <v>248</v>
      </c>
      <c r="E129" s="12"/>
      <c r="F129" s="14">
        <v>2</v>
      </c>
      <c r="G129" s="12"/>
      <c r="H129" s="15" t="s">
        <v>35</v>
      </c>
      <c r="I129" s="12"/>
      <c r="J129" s="16">
        <v>30111.94</v>
      </c>
      <c r="K129" s="16">
        <v>60223.88</v>
      </c>
      <c r="L129" s="17">
        <v>0.2</v>
      </c>
      <c r="M129" s="16">
        <v>10037.31</v>
      </c>
      <c r="N129" s="16">
        <v>60223.88</v>
      </c>
      <c r="O12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50186.57</v>
      </c>
      <c r="P129" s="12" t="s">
        <v>36</v>
      </c>
      <c r="Q129" s="12" t="s">
        <v>80</v>
      </c>
      <c r="R129" s="13" t="s">
        <v>249</v>
      </c>
      <c r="S129" s="18" t="s">
        <v>46</v>
      </c>
      <c r="T129" s="12" t="s">
        <v>40</v>
      </c>
      <c r="U129" s="12" t="s">
        <v>41</v>
      </c>
      <c r="V129" s="19"/>
      <c r="W129" s="12"/>
      <c r="X129" s="20" t="s">
        <v>41</v>
      </c>
      <c r="Y129" s="25" t="str">
        <f>VLOOKUP(Таблица2[[#This Row],[Номер заказа]],[1]!Таблица1[#Data],MATCH("Поставщик",[1]!Таблица1[#Headers],0),FALSE)</f>
        <v>АМПЕРАЖ ООО</v>
      </c>
      <c r="Z129" s="26" t="s">
        <v>56</v>
      </c>
      <c r="AA129" s="27">
        <f>VLOOKUP(Таблица2[[#This Row],[Номер заказа]],[1]!Таблица1[#Data],MATCH("Дата",[1]!Таблица1[#Headers],0),FALSE)+0</f>
        <v>45561</v>
      </c>
      <c r="AB129" s="28" t="str">
        <f>VLOOKUP(Таблица2[[#This Row],[Номер заказа]],[1]!Таблица1[#Data],MATCH("Валюта",[1]!Таблица1[#Headers],0),FALSE)</f>
        <v>руб.</v>
      </c>
      <c r="AC129" s="28">
        <f>_xlfn.XLOOKUP(Таблица2[[#This Row],[Номенклатура]],[1]!Таблица24[Наименование],[1]!Таблица24[Кол-во],"Нет на складе",0)</f>
        <v>2</v>
      </c>
    </row>
    <row r="130" spans="1:29" ht="14.25" customHeight="1" x14ac:dyDescent="0.2">
      <c r="A130" s="10" t="s">
        <v>250</v>
      </c>
      <c r="B130" s="11">
        <v>1</v>
      </c>
      <c r="C130" s="12"/>
      <c r="D130" s="13" t="s">
        <v>251</v>
      </c>
      <c r="E130" s="12"/>
      <c r="F130" s="14">
        <v>2</v>
      </c>
      <c r="G130" s="12"/>
      <c r="H130" s="15" t="s">
        <v>35</v>
      </c>
      <c r="I130" s="12"/>
      <c r="J130" s="16">
        <v>575160</v>
      </c>
      <c r="K130" s="16">
        <v>1150320</v>
      </c>
      <c r="L130" s="17">
        <v>0.2</v>
      </c>
      <c r="M130" s="16">
        <v>191720</v>
      </c>
      <c r="N130" s="16">
        <v>1150320</v>
      </c>
      <c r="O13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958600</v>
      </c>
      <c r="P130" s="12" t="s">
        <v>252</v>
      </c>
      <c r="Q130" s="12" t="s">
        <v>53</v>
      </c>
      <c r="R130" s="13" t="s">
        <v>144</v>
      </c>
      <c r="S130" s="18" t="s">
        <v>46</v>
      </c>
      <c r="T130" s="12" t="s">
        <v>40</v>
      </c>
      <c r="U130" s="12" t="s">
        <v>41</v>
      </c>
      <c r="V130" s="19" t="s">
        <v>253</v>
      </c>
      <c r="W130" s="26"/>
      <c r="X130" s="29" t="s">
        <v>41</v>
      </c>
      <c r="Y130" s="25" t="str">
        <f>VLOOKUP(Таблица2[[#This Row],[Номер заказа]],[1]!Таблица1[#Data],MATCH("Поставщик",[1]!Таблица1[#Headers],0),FALSE)</f>
        <v>АЛЬФА-ГИДРАВЛИКА ООО</v>
      </c>
      <c r="Z130" s="26" t="s">
        <v>65</v>
      </c>
      <c r="AA130" s="27">
        <f>VLOOKUP(Таблица2[[#This Row],[Номер заказа]],[1]!Таблица1[#Data],MATCH("Дата",[1]!Таблица1[#Headers],0),FALSE)+0</f>
        <v>45566</v>
      </c>
      <c r="AB130" s="28" t="str">
        <f>VLOOKUP(Таблица2[[#This Row],[Номер заказа]],[1]!Таблица1[#Data],MATCH("Валюта",[1]!Таблица1[#Headers],0),FALSE)</f>
        <v>руб.</v>
      </c>
      <c r="AC130" s="28">
        <f>_xlfn.XLOOKUP(Таблица2[[#This Row],[Номенклатура]],[1]!Таблица24[Наименование],[1]!Таблица24[Кол-во],"Нет на складе",0)</f>
        <v>2</v>
      </c>
    </row>
    <row r="131" spans="1:29" ht="14.25" customHeight="1" x14ac:dyDescent="0.2">
      <c r="A131" s="10" t="s">
        <v>250</v>
      </c>
      <c r="B131" s="11">
        <v>2</v>
      </c>
      <c r="C131" s="12"/>
      <c r="D131" s="13" t="s">
        <v>254</v>
      </c>
      <c r="E131" s="12"/>
      <c r="F131" s="14">
        <v>2</v>
      </c>
      <c r="G131" s="12"/>
      <c r="H131" s="15" t="s">
        <v>35</v>
      </c>
      <c r="I131" s="12"/>
      <c r="J131" s="16">
        <v>6588</v>
      </c>
      <c r="K131" s="16">
        <v>13176</v>
      </c>
      <c r="L131" s="17">
        <v>0.2</v>
      </c>
      <c r="M131" s="16">
        <v>2196</v>
      </c>
      <c r="N131" s="16">
        <v>13176</v>
      </c>
      <c r="O13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10980</v>
      </c>
      <c r="P131" s="12" t="s">
        <v>252</v>
      </c>
      <c r="Q131" s="12" t="s">
        <v>53</v>
      </c>
      <c r="R131" s="13" t="s">
        <v>144</v>
      </c>
      <c r="S131" s="18" t="s">
        <v>46</v>
      </c>
      <c r="T131" s="12" t="s">
        <v>40</v>
      </c>
      <c r="U131" s="12" t="s">
        <v>41</v>
      </c>
      <c r="V131" s="19" t="s">
        <v>253</v>
      </c>
      <c r="W131" s="26"/>
      <c r="X131" s="29" t="s">
        <v>41</v>
      </c>
      <c r="Y131" s="25" t="str">
        <f>VLOOKUP(Таблица2[[#This Row],[Номер заказа]],[1]!Таблица1[#Data],MATCH("Поставщик",[1]!Таблица1[#Headers],0),FALSE)</f>
        <v>АЛЬФА-ГИДРАВЛИКА ООО</v>
      </c>
      <c r="Z131" s="26" t="s">
        <v>65</v>
      </c>
      <c r="AA131" s="27">
        <f>VLOOKUP(Таблица2[[#This Row],[Номер заказа]],[1]!Таблица1[#Data],MATCH("Дата",[1]!Таблица1[#Headers],0),FALSE)+0</f>
        <v>45566</v>
      </c>
      <c r="AB131" s="28" t="str">
        <f>VLOOKUP(Таблица2[[#This Row],[Номер заказа]],[1]!Таблица1[#Data],MATCH("Валюта",[1]!Таблица1[#Headers],0),FALSE)</f>
        <v>руб.</v>
      </c>
      <c r="AC131" s="28">
        <f>_xlfn.XLOOKUP(Таблица2[[#This Row],[Номенклатура]],[1]!Таблица24[Наименование],[1]!Таблица24[Кол-во],"Нет на складе",0)</f>
        <v>2</v>
      </c>
    </row>
    <row r="132" spans="1:29" ht="14.25" customHeight="1" x14ac:dyDescent="0.2">
      <c r="A132" s="10" t="s">
        <v>255</v>
      </c>
      <c r="B132" s="11">
        <v>1</v>
      </c>
      <c r="C132" s="12"/>
      <c r="D132" s="13" t="s">
        <v>256</v>
      </c>
      <c r="E132" s="12"/>
      <c r="F132" s="14">
        <v>2</v>
      </c>
      <c r="G132" s="12"/>
      <c r="H132" s="15" t="s">
        <v>35</v>
      </c>
      <c r="I132" s="12"/>
      <c r="J132" s="16">
        <v>26500</v>
      </c>
      <c r="K132" s="16">
        <v>53000</v>
      </c>
      <c r="L132" s="17">
        <v>0.2</v>
      </c>
      <c r="M132" s="16">
        <v>8833.33</v>
      </c>
      <c r="N132" s="16">
        <v>53000</v>
      </c>
      <c r="O13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44166.67</v>
      </c>
      <c r="P132" s="12" t="s">
        <v>36</v>
      </c>
      <c r="Q132" s="12" t="s">
        <v>53</v>
      </c>
      <c r="R132" s="13" t="s">
        <v>54</v>
      </c>
      <c r="S132" s="18" t="s">
        <v>46</v>
      </c>
      <c r="T132" s="12" t="s">
        <v>40</v>
      </c>
      <c r="U132" s="12" t="s">
        <v>41</v>
      </c>
      <c r="V132" s="19" t="s">
        <v>257</v>
      </c>
      <c r="W132" s="26"/>
      <c r="X132" s="29" t="s">
        <v>41</v>
      </c>
      <c r="Y132" s="25" t="str">
        <f>VLOOKUP(Таблица2[[#This Row],[Номер заказа]],[1]!Таблица1[#Data],MATCH("Поставщик",[1]!Таблица1[#Headers],0),FALSE)</f>
        <v>Бушуев Михаил Юрьевич</v>
      </c>
      <c r="Z132" s="26" t="s">
        <v>56</v>
      </c>
      <c r="AA132" s="27">
        <f>VLOOKUP(Таблица2[[#This Row],[Номер заказа]],[1]!Таблица1[#Data],MATCH("Дата",[1]!Таблица1[#Headers],0),FALSE)+0</f>
        <v>45567</v>
      </c>
      <c r="AB132" s="28" t="str">
        <f>VLOOKUP(Таблица2[[#This Row],[Номер заказа]],[1]!Таблица1[#Data],MATCH("Валюта",[1]!Таблица1[#Headers],0),FALSE)</f>
        <v>руб.</v>
      </c>
      <c r="AC132" s="28">
        <f>_xlfn.XLOOKUP(Таблица2[[#This Row],[Номенклатура]],[1]!Таблица24[Наименование],[1]!Таблица24[Кол-во],"Нет на складе",0)</f>
        <v>2</v>
      </c>
    </row>
    <row r="133" spans="1:29" ht="14.25" customHeight="1" x14ac:dyDescent="0.2">
      <c r="A133" s="10" t="s">
        <v>255</v>
      </c>
      <c r="B133" s="11">
        <v>2</v>
      </c>
      <c r="C133" s="12"/>
      <c r="D133" s="13" t="s">
        <v>258</v>
      </c>
      <c r="E133" s="12"/>
      <c r="F133" s="14">
        <v>2</v>
      </c>
      <c r="G133" s="12"/>
      <c r="H133" s="15" t="s">
        <v>35</v>
      </c>
      <c r="I133" s="12"/>
      <c r="J133" s="16">
        <v>19400</v>
      </c>
      <c r="K133" s="16">
        <v>38800</v>
      </c>
      <c r="L133" s="17">
        <v>0.2</v>
      </c>
      <c r="M133" s="16">
        <v>6466.67</v>
      </c>
      <c r="N133" s="16">
        <v>38800</v>
      </c>
      <c r="O13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32333.33</v>
      </c>
      <c r="P133" s="12" t="s">
        <v>36</v>
      </c>
      <c r="Q133" s="12" t="s">
        <v>53</v>
      </c>
      <c r="R133" s="13" t="s">
        <v>54</v>
      </c>
      <c r="S133" s="18" t="s">
        <v>46</v>
      </c>
      <c r="T133" s="12" t="s">
        <v>40</v>
      </c>
      <c r="U133" s="12" t="s">
        <v>41</v>
      </c>
      <c r="V133" s="19" t="s">
        <v>257</v>
      </c>
      <c r="W133" s="26"/>
      <c r="X133" s="29" t="s">
        <v>41</v>
      </c>
      <c r="Y133" s="25" t="str">
        <f>VLOOKUP(Таблица2[[#This Row],[Номер заказа]],[1]!Таблица1[#Data],MATCH("Поставщик",[1]!Таблица1[#Headers],0),FALSE)</f>
        <v>Бушуев Михаил Юрьевич</v>
      </c>
      <c r="Z133" s="26" t="s">
        <v>56</v>
      </c>
      <c r="AA133" s="27">
        <f>VLOOKUP(Таблица2[[#This Row],[Номер заказа]],[1]!Таблица1[#Data],MATCH("Дата",[1]!Таблица1[#Headers],0),FALSE)+0</f>
        <v>45567</v>
      </c>
      <c r="AB133" s="28" t="str">
        <f>VLOOKUP(Таблица2[[#This Row],[Номер заказа]],[1]!Таблица1[#Data],MATCH("Валюта",[1]!Таблица1[#Headers],0),FALSE)</f>
        <v>руб.</v>
      </c>
      <c r="AC133" s="28">
        <f>_xlfn.XLOOKUP(Таблица2[[#This Row],[Номенклатура]],[1]!Таблица24[Наименование],[1]!Таблица24[Кол-во],"Нет на складе",0)</f>
        <v>2</v>
      </c>
    </row>
    <row r="134" spans="1:29" ht="14.25" customHeight="1" x14ac:dyDescent="0.2">
      <c r="A134" s="10" t="s">
        <v>259</v>
      </c>
      <c r="B134" s="11">
        <v>1</v>
      </c>
      <c r="C134" s="12"/>
      <c r="D134" s="13" t="s">
        <v>260</v>
      </c>
      <c r="E134" s="12"/>
      <c r="F134" s="14">
        <v>5</v>
      </c>
      <c r="G134" s="12"/>
      <c r="H134" s="15" t="s">
        <v>35</v>
      </c>
      <c r="I134" s="12"/>
      <c r="J134" s="16">
        <v>228603.29</v>
      </c>
      <c r="K134" s="16">
        <v>1143016.45</v>
      </c>
      <c r="L134" s="17">
        <v>0</v>
      </c>
      <c r="M134" s="16"/>
      <c r="N134" s="16">
        <v>1143016.45</v>
      </c>
      <c r="O13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1143016.45</v>
      </c>
      <c r="P134" s="12" t="s">
        <v>36</v>
      </c>
      <c r="Q134" s="12"/>
      <c r="R134" s="13" t="s">
        <v>261</v>
      </c>
      <c r="S134" s="18" t="s">
        <v>46</v>
      </c>
      <c r="T134" s="12"/>
      <c r="U134" s="12" t="s">
        <v>41</v>
      </c>
      <c r="V134" s="19"/>
      <c r="W134" s="12"/>
      <c r="X134" s="20" t="s">
        <v>41</v>
      </c>
      <c r="Y134" s="25" t="str">
        <f>VLOOKUP(Таблица2[[#This Row],[Номер заказа]],[1]!Таблица1[#Data],MATCH("Поставщик",[1]!Таблица1[#Headers],0),FALSE)</f>
        <v>Ренко Трейд ТОО</v>
      </c>
      <c r="Z134" s="26" t="s">
        <v>262</v>
      </c>
      <c r="AA134" s="27">
        <f>VLOOKUP(Таблица2[[#This Row],[Номер заказа]],[1]!Таблица1[#Data],MATCH("Дата",[1]!Таблица1[#Headers],0),FALSE)+0</f>
        <v>45569</v>
      </c>
      <c r="AB134" s="28" t="str">
        <f>VLOOKUP(Таблица2[[#This Row],[Номер заказа]],[1]!Таблица1[#Data],MATCH("Валюта",[1]!Таблица1[#Headers],0),FALSE)</f>
        <v>руб.</v>
      </c>
      <c r="AC134" s="28">
        <f>_xlfn.XLOOKUP(Таблица2[[#This Row],[Номенклатура]],[1]!Таблица24[Наименование],[1]!Таблица24[Кол-во],"Нет на складе",0)</f>
        <v>5</v>
      </c>
    </row>
    <row r="135" spans="1:29" ht="14.25" customHeight="1" x14ac:dyDescent="0.2">
      <c r="A135" s="10" t="s">
        <v>263</v>
      </c>
      <c r="B135" s="11">
        <v>1</v>
      </c>
      <c r="C135" s="12"/>
      <c r="D135" s="13" t="s">
        <v>264</v>
      </c>
      <c r="E135" s="12"/>
      <c r="F135" s="14">
        <v>2</v>
      </c>
      <c r="G135" s="12"/>
      <c r="H135" s="15" t="s">
        <v>35</v>
      </c>
      <c r="I135" s="12"/>
      <c r="J135" s="16">
        <v>10333</v>
      </c>
      <c r="K135" s="16">
        <v>20666</v>
      </c>
      <c r="L135" s="17">
        <v>0.2</v>
      </c>
      <c r="M135" s="16">
        <v>3444.33</v>
      </c>
      <c r="N135" s="16">
        <v>20666</v>
      </c>
      <c r="O13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17221.669999999998</v>
      </c>
      <c r="P135" s="12" t="s">
        <v>36</v>
      </c>
      <c r="Q135" s="12"/>
      <c r="R135" s="13" t="s">
        <v>54</v>
      </c>
      <c r="S135" s="18" t="s">
        <v>46</v>
      </c>
      <c r="T135" s="12"/>
      <c r="U135" s="12" t="s">
        <v>41</v>
      </c>
      <c r="V135" s="19" t="s">
        <v>265</v>
      </c>
      <c r="W135" s="26"/>
      <c r="X135" s="29" t="s">
        <v>41</v>
      </c>
      <c r="Y135" s="25" t="str">
        <f>VLOOKUP(Таблица2[[#This Row],[Номер заказа]],[1]!Таблица1[#Data],MATCH("Поставщик",[1]!Таблица1[#Headers],0),FALSE)</f>
        <v>ЭЛРУС ООО</v>
      </c>
      <c r="Z135" s="26" t="s">
        <v>56</v>
      </c>
      <c r="AA135" s="27">
        <f>VLOOKUP(Таблица2[[#This Row],[Номер заказа]],[1]!Таблица1[#Data],MATCH("Дата",[1]!Таблица1[#Headers],0),FALSE)+0</f>
        <v>45573</v>
      </c>
      <c r="AB135" s="28" t="str">
        <f>VLOOKUP(Таблица2[[#This Row],[Номер заказа]],[1]!Таблица1[#Data],MATCH("Валюта",[1]!Таблица1[#Headers],0),FALSE)</f>
        <v>руб.</v>
      </c>
      <c r="AC135" s="28">
        <f>_xlfn.XLOOKUP(Таблица2[[#This Row],[Номенклатура]],[1]!Таблица24[Наименование],[1]!Таблица24[Кол-во],"Нет на складе",0)</f>
        <v>2</v>
      </c>
    </row>
    <row r="136" spans="1:29" ht="14.25" customHeight="1" x14ac:dyDescent="0.2">
      <c r="A136" s="10" t="s">
        <v>266</v>
      </c>
      <c r="B136" s="11">
        <v>1</v>
      </c>
      <c r="C136" s="12"/>
      <c r="D136" s="13" t="s">
        <v>267</v>
      </c>
      <c r="E136" s="12"/>
      <c r="F136" s="14">
        <v>2</v>
      </c>
      <c r="G136" s="12"/>
      <c r="H136" s="15" t="s">
        <v>35</v>
      </c>
      <c r="I136" s="12"/>
      <c r="J136" s="16">
        <v>250.14</v>
      </c>
      <c r="K136" s="16">
        <v>500.28</v>
      </c>
      <c r="L136" s="17">
        <v>0.2</v>
      </c>
      <c r="M136" s="16">
        <v>83.38</v>
      </c>
      <c r="N136" s="16">
        <v>500.28</v>
      </c>
      <c r="O13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37521</v>
      </c>
      <c r="P136" s="12" t="s">
        <v>36</v>
      </c>
      <c r="Q136" s="12" t="s">
        <v>53</v>
      </c>
      <c r="R136" s="13" t="s">
        <v>54</v>
      </c>
      <c r="S136" s="18" t="s">
        <v>46</v>
      </c>
      <c r="T136" s="12" t="s">
        <v>40</v>
      </c>
      <c r="U136" s="12" t="s">
        <v>41</v>
      </c>
      <c r="V136" s="19" t="s">
        <v>268</v>
      </c>
      <c r="W136" s="26"/>
      <c r="X136" s="29" t="s">
        <v>41</v>
      </c>
      <c r="Y136" s="25" t="str">
        <f>VLOOKUP(Таблица2[[#This Row],[Номер заказа]],[1]!Таблица1[#Data],MATCH("Поставщик",[1]!Таблица1[#Headers],0),FALSE)</f>
        <v>НИЕНШАНЦ-АВТОМАТИКА ООО</v>
      </c>
      <c r="Z136" s="26" t="s">
        <v>56</v>
      </c>
      <c r="AA136" s="27">
        <f>VLOOKUP(Таблица2[[#This Row],[Номер заказа]],[1]!Таблица1[#Data],MATCH("Дата",[1]!Таблица1[#Headers],0),FALSE)+0</f>
        <v>45572</v>
      </c>
      <c r="AB136" s="28" t="str">
        <f>VLOOKUP(Таблица2[[#This Row],[Номер заказа]],[1]!Таблица1[#Data],MATCH("Валюта",[1]!Таблица1[#Headers],0),FALSE)</f>
        <v>USD</v>
      </c>
      <c r="AC136" s="28">
        <f>_xlfn.XLOOKUP(Таблица2[[#This Row],[Номенклатура]],[1]!Таблица24[Наименование],[1]!Таблица24[Кол-во],"Нет на складе",0)</f>
        <v>2</v>
      </c>
    </row>
    <row r="137" spans="1:29" ht="14.25" customHeight="1" x14ac:dyDescent="0.2">
      <c r="A137" s="10" t="s">
        <v>269</v>
      </c>
      <c r="B137" s="11">
        <v>1</v>
      </c>
      <c r="C137" s="12"/>
      <c r="D137" s="13" t="s">
        <v>270</v>
      </c>
      <c r="E137" s="12"/>
      <c r="F137" s="14">
        <v>2</v>
      </c>
      <c r="G137" s="12"/>
      <c r="H137" s="15" t="s">
        <v>35</v>
      </c>
      <c r="I137" s="12"/>
      <c r="J137" s="16">
        <v>204.42</v>
      </c>
      <c r="K137" s="16">
        <v>408.84</v>
      </c>
      <c r="L137" s="17">
        <v>0.2</v>
      </c>
      <c r="M137" s="16">
        <v>68.14</v>
      </c>
      <c r="N137" s="16">
        <v>408.84</v>
      </c>
      <c r="O13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30663</v>
      </c>
      <c r="P137" s="12" t="s">
        <v>36</v>
      </c>
      <c r="Q137" s="12"/>
      <c r="R137" s="13" t="s">
        <v>54</v>
      </c>
      <c r="S137" s="18" t="s">
        <v>46</v>
      </c>
      <c r="T137" s="12"/>
      <c r="U137" s="12" t="s">
        <v>41</v>
      </c>
      <c r="V137" s="19" t="s">
        <v>271</v>
      </c>
      <c r="W137" s="26"/>
      <c r="X137" s="29" t="s">
        <v>41</v>
      </c>
      <c r="Y137" s="25" t="str">
        <f>VLOOKUP(Таблица2[[#This Row],[Номер заказа]],[1]!Таблица1[#Data],MATCH("Поставщик",[1]!Таблица1[#Headers],0),FALSE)</f>
        <v>АЙПИСИ2Ю ООО</v>
      </c>
      <c r="Z137" s="26" t="s">
        <v>56</v>
      </c>
      <c r="AA137" s="27">
        <f>VLOOKUP(Таблица2[[#This Row],[Номер заказа]],[1]!Таблица1[#Data],MATCH("Дата",[1]!Таблица1[#Headers],0),FALSE)+0</f>
        <v>45574</v>
      </c>
      <c r="AB137" s="28" t="str">
        <f>VLOOKUP(Таблица2[[#This Row],[Номер заказа]],[1]!Таблица1[#Data],MATCH("Валюта",[1]!Таблица1[#Headers],0),FALSE)</f>
        <v>USD</v>
      </c>
      <c r="AC137" s="28">
        <f>_xlfn.XLOOKUP(Таблица2[[#This Row],[Номенклатура]],[1]!Таблица24[Наименование],[1]!Таблица24[Кол-во],"Нет на складе",0)</f>
        <v>2</v>
      </c>
    </row>
    <row r="138" spans="1:29" ht="14.25" customHeight="1" x14ac:dyDescent="0.2">
      <c r="A138" s="10" t="s">
        <v>272</v>
      </c>
      <c r="B138" s="11">
        <v>1</v>
      </c>
      <c r="C138" s="12"/>
      <c r="D138" s="13" t="s">
        <v>273</v>
      </c>
      <c r="E138" s="12"/>
      <c r="F138" s="14">
        <v>6</v>
      </c>
      <c r="G138" s="12"/>
      <c r="H138" s="15" t="s">
        <v>35</v>
      </c>
      <c r="I138" s="12"/>
      <c r="J138" s="16">
        <v>510</v>
      </c>
      <c r="K138" s="16">
        <v>3060</v>
      </c>
      <c r="L138" s="17">
        <v>0.2</v>
      </c>
      <c r="M138" s="16">
        <v>510</v>
      </c>
      <c r="N138" s="16">
        <v>3060</v>
      </c>
      <c r="O13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2550</v>
      </c>
      <c r="P138" s="12" t="s">
        <v>36</v>
      </c>
      <c r="Q138" s="12"/>
      <c r="R138" s="13" t="s">
        <v>274</v>
      </c>
      <c r="S138" s="18" t="s">
        <v>46</v>
      </c>
      <c r="T138" s="12"/>
      <c r="U138" s="12" t="s">
        <v>41</v>
      </c>
      <c r="V138" s="19"/>
      <c r="W138" s="12"/>
      <c r="X138" s="20" t="s">
        <v>41</v>
      </c>
      <c r="Y138" s="25" t="str">
        <f>VLOOKUP(Таблица2[[#This Row],[Номер заказа]],[1]!Таблица1[#Data],MATCH("Поставщик",[1]!Таблица1[#Headers],0),FALSE)</f>
        <v>БСК ООО</v>
      </c>
      <c r="Z138" s="26" t="s">
        <v>275</v>
      </c>
      <c r="AA138" s="27">
        <f>VLOOKUP(Таблица2[[#This Row],[Номер заказа]],[1]!Таблица1[#Data],MATCH("Дата",[1]!Таблица1[#Headers],0),FALSE)+0</f>
        <v>45575</v>
      </c>
      <c r="AB138" s="28" t="str">
        <f>VLOOKUP(Таблица2[[#This Row],[Номер заказа]],[1]!Таблица1[#Data],MATCH("Валюта",[1]!Таблица1[#Headers],0),FALSE)</f>
        <v>руб.</v>
      </c>
      <c r="AC138" s="28">
        <f>_xlfn.XLOOKUP(Таблица2[[#This Row],[Номенклатура]],[1]!Таблица24[Наименование],[1]!Таблица24[Кол-во],"Нет на складе",0)</f>
        <v>6</v>
      </c>
    </row>
    <row r="139" spans="1:29" ht="14.25" customHeight="1" x14ac:dyDescent="0.2">
      <c r="A139" s="10" t="s">
        <v>272</v>
      </c>
      <c r="B139" s="11">
        <v>2</v>
      </c>
      <c r="C139" s="12"/>
      <c r="D139" s="13" t="s">
        <v>276</v>
      </c>
      <c r="E139" s="12"/>
      <c r="F139" s="14">
        <v>48</v>
      </c>
      <c r="G139" s="12"/>
      <c r="H139" s="15" t="s">
        <v>35</v>
      </c>
      <c r="I139" s="12"/>
      <c r="J139" s="16">
        <v>240</v>
      </c>
      <c r="K139" s="16">
        <v>11520</v>
      </c>
      <c r="L139" s="17">
        <v>0.2</v>
      </c>
      <c r="M139" s="16">
        <v>1920</v>
      </c>
      <c r="N139" s="16">
        <v>11520</v>
      </c>
      <c r="O13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9600</v>
      </c>
      <c r="P139" s="12" t="s">
        <v>36</v>
      </c>
      <c r="Q139" s="12"/>
      <c r="R139" s="13" t="s">
        <v>274</v>
      </c>
      <c r="S139" s="18" t="s">
        <v>46</v>
      </c>
      <c r="T139" s="12"/>
      <c r="U139" s="12" t="s">
        <v>41</v>
      </c>
      <c r="V139" s="19"/>
      <c r="W139" s="12"/>
      <c r="X139" s="20" t="s">
        <v>41</v>
      </c>
      <c r="Y139" s="25" t="str">
        <f>VLOOKUP(Таблица2[[#This Row],[Номер заказа]],[1]!Таблица1[#Data],MATCH("Поставщик",[1]!Таблица1[#Headers],0),FALSE)</f>
        <v>БСК ООО</v>
      </c>
      <c r="Z139" s="26" t="s">
        <v>275</v>
      </c>
      <c r="AA139" s="27">
        <f>VLOOKUP(Таблица2[[#This Row],[Номер заказа]],[1]!Таблица1[#Data],MATCH("Дата",[1]!Таблица1[#Headers],0),FALSE)+0</f>
        <v>45575</v>
      </c>
      <c r="AB139" s="28" t="str">
        <f>VLOOKUP(Таблица2[[#This Row],[Номер заказа]],[1]!Таблица1[#Data],MATCH("Валюта",[1]!Таблица1[#Headers],0),FALSE)</f>
        <v>руб.</v>
      </c>
      <c r="AC139" s="28">
        <f>_xlfn.XLOOKUP(Таблица2[[#This Row],[Номенклатура]],[1]!Таблица24[Наименование],[1]!Таблица24[Кол-во],"Нет на складе",0)</f>
        <v>48</v>
      </c>
    </row>
    <row r="140" spans="1:29" ht="14.25" customHeight="1" x14ac:dyDescent="0.2">
      <c r="A140" s="10" t="s">
        <v>272</v>
      </c>
      <c r="B140" s="11">
        <v>3</v>
      </c>
      <c r="C140" s="12"/>
      <c r="D140" s="13" t="s">
        <v>277</v>
      </c>
      <c r="E140" s="12"/>
      <c r="F140" s="14">
        <v>48</v>
      </c>
      <c r="G140" s="12"/>
      <c r="H140" s="15" t="s">
        <v>35</v>
      </c>
      <c r="I140" s="12"/>
      <c r="J140" s="16">
        <v>150</v>
      </c>
      <c r="K140" s="16">
        <v>7200</v>
      </c>
      <c r="L140" s="17">
        <v>0.2</v>
      </c>
      <c r="M140" s="16">
        <v>1200</v>
      </c>
      <c r="N140" s="16">
        <v>7200</v>
      </c>
      <c r="O14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</v>
      </c>
      <c r="P140" s="12" t="s">
        <v>36</v>
      </c>
      <c r="Q140" s="12"/>
      <c r="R140" s="13" t="s">
        <v>274</v>
      </c>
      <c r="S140" s="18" t="s">
        <v>46</v>
      </c>
      <c r="T140" s="12"/>
      <c r="U140" s="12" t="s">
        <v>41</v>
      </c>
      <c r="V140" s="19"/>
      <c r="W140" s="12"/>
      <c r="X140" s="20" t="s">
        <v>41</v>
      </c>
      <c r="Y140" s="25" t="str">
        <f>VLOOKUP(Таблица2[[#This Row],[Номер заказа]],[1]!Таблица1[#Data],MATCH("Поставщик",[1]!Таблица1[#Headers],0),FALSE)</f>
        <v>БСК ООО</v>
      </c>
      <c r="Z140" s="26" t="s">
        <v>275</v>
      </c>
      <c r="AA140" s="27">
        <f>VLOOKUP(Таблица2[[#This Row],[Номер заказа]],[1]!Таблица1[#Data],MATCH("Дата",[1]!Таблица1[#Headers],0),FALSE)+0</f>
        <v>45575</v>
      </c>
      <c r="AB140" s="28" t="str">
        <f>VLOOKUP(Таблица2[[#This Row],[Номер заказа]],[1]!Таблица1[#Data],MATCH("Валюта",[1]!Таблица1[#Headers],0),FALSE)</f>
        <v>руб.</v>
      </c>
      <c r="AC140" s="28">
        <f>_xlfn.XLOOKUP(Таблица2[[#This Row],[Номенклатура]],[1]!Таблица24[Наименование],[1]!Таблица24[Кол-во],"Нет на складе",0)</f>
        <v>48</v>
      </c>
    </row>
    <row r="141" spans="1:29" ht="14.25" customHeight="1" x14ac:dyDescent="0.2">
      <c r="A141" s="10" t="s">
        <v>272</v>
      </c>
      <c r="B141" s="11">
        <v>4</v>
      </c>
      <c r="C141" s="12"/>
      <c r="D141" s="13" t="s">
        <v>278</v>
      </c>
      <c r="E141" s="12"/>
      <c r="F141" s="14">
        <v>4</v>
      </c>
      <c r="G141" s="12"/>
      <c r="H141" s="15" t="s">
        <v>35</v>
      </c>
      <c r="I141" s="12"/>
      <c r="J141" s="16">
        <v>3095</v>
      </c>
      <c r="K141" s="16">
        <v>12380</v>
      </c>
      <c r="L141" s="17">
        <v>0.2</v>
      </c>
      <c r="M141" s="16">
        <v>2063.33</v>
      </c>
      <c r="N141" s="16">
        <v>12380</v>
      </c>
      <c r="O14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10316.67</v>
      </c>
      <c r="P141" s="12" t="s">
        <v>36</v>
      </c>
      <c r="Q141" s="12"/>
      <c r="R141" s="13" t="s">
        <v>274</v>
      </c>
      <c r="S141" s="18" t="s">
        <v>46</v>
      </c>
      <c r="T141" s="12"/>
      <c r="U141" s="12" t="s">
        <v>41</v>
      </c>
      <c r="V141" s="19"/>
      <c r="W141" s="12"/>
      <c r="X141" s="20" t="s">
        <v>41</v>
      </c>
      <c r="Y141" s="25" t="str">
        <f>VLOOKUP(Таблица2[[#This Row],[Номер заказа]],[1]!Таблица1[#Data],MATCH("Поставщик",[1]!Таблица1[#Headers],0),FALSE)</f>
        <v>БСК ООО</v>
      </c>
      <c r="Z141" s="26" t="s">
        <v>139</v>
      </c>
      <c r="AA141" s="27">
        <f>VLOOKUP(Таблица2[[#This Row],[Номер заказа]],[1]!Таблица1[#Data],MATCH("Дата",[1]!Таблица1[#Headers],0),FALSE)+0</f>
        <v>45575</v>
      </c>
      <c r="AB141" s="28" t="str">
        <f>VLOOKUP(Таблица2[[#This Row],[Номер заказа]],[1]!Таблица1[#Data],MATCH("Валюта",[1]!Таблица1[#Headers],0),FALSE)</f>
        <v>руб.</v>
      </c>
      <c r="AC141" s="28">
        <f>_xlfn.XLOOKUP(Таблица2[[#This Row],[Номенклатура]],[1]!Таблица24[Наименование],[1]!Таблица24[Кол-во],"Нет на складе",0)</f>
        <v>4</v>
      </c>
    </row>
    <row r="142" spans="1:29" ht="14.25" customHeight="1" x14ac:dyDescent="0.2">
      <c r="A142" s="10" t="s">
        <v>272</v>
      </c>
      <c r="B142" s="11">
        <v>5</v>
      </c>
      <c r="C142" s="12"/>
      <c r="D142" s="13" t="s">
        <v>279</v>
      </c>
      <c r="E142" s="12"/>
      <c r="F142" s="14">
        <v>4</v>
      </c>
      <c r="G142" s="12"/>
      <c r="H142" s="15" t="s">
        <v>35</v>
      </c>
      <c r="I142" s="12"/>
      <c r="J142" s="16">
        <v>9775</v>
      </c>
      <c r="K142" s="16">
        <v>39100</v>
      </c>
      <c r="L142" s="17">
        <v>0.2</v>
      </c>
      <c r="M142" s="16">
        <v>6516.67</v>
      </c>
      <c r="N142" s="16">
        <v>39100</v>
      </c>
      <c r="O14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32583.33</v>
      </c>
      <c r="P142" s="12" t="s">
        <v>36</v>
      </c>
      <c r="Q142" s="12"/>
      <c r="R142" s="13" t="s">
        <v>274</v>
      </c>
      <c r="S142" s="18" t="s">
        <v>46</v>
      </c>
      <c r="T142" s="12"/>
      <c r="U142" s="12" t="s">
        <v>41</v>
      </c>
      <c r="V142" s="19"/>
      <c r="W142" s="12"/>
      <c r="X142" s="20" t="s">
        <v>41</v>
      </c>
      <c r="Y142" s="25" t="str">
        <f>VLOOKUP(Таблица2[[#This Row],[Номер заказа]],[1]!Таблица1[#Data],MATCH("Поставщик",[1]!Таблица1[#Headers],0),FALSE)</f>
        <v>БСК ООО</v>
      </c>
      <c r="Z142" s="26" t="s">
        <v>139</v>
      </c>
      <c r="AA142" s="27">
        <f>VLOOKUP(Таблица2[[#This Row],[Номер заказа]],[1]!Таблица1[#Data],MATCH("Дата",[1]!Таблица1[#Headers],0),FALSE)+0</f>
        <v>45575</v>
      </c>
      <c r="AB142" s="28" t="str">
        <f>VLOOKUP(Таблица2[[#This Row],[Номер заказа]],[1]!Таблица1[#Data],MATCH("Валюта",[1]!Таблица1[#Headers],0),FALSE)</f>
        <v>руб.</v>
      </c>
      <c r="AC142" s="28">
        <f>_xlfn.XLOOKUP(Таблица2[[#This Row],[Номенклатура]],[1]!Таблица24[Наименование],[1]!Таблица24[Кол-во],"Нет на складе",0)</f>
        <v>4</v>
      </c>
    </row>
    <row r="143" spans="1:29" ht="14.25" customHeight="1" x14ac:dyDescent="0.2">
      <c r="A143" s="10" t="s">
        <v>272</v>
      </c>
      <c r="B143" s="11">
        <v>6</v>
      </c>
      <c r="C143" s="12"/>
      <c r="D143" s="13" t="s">
        <v>280</v>
      </c>
      <c r="E143" s="12"/>
      <c r="F143" s="14">
        <v>2</v>
      </c>
      <c r="G143" s="12"/>
      <c r="H143" s="15" t="s">
        <v>35</v>
      </c>
      <c r="I143" s="12"/>
      <c r="J143" s="16">
        <v>6775</v>
      </c>
      <c r="K143" s="16">
        <v>13550</v>
      </c>
      <c r="L143" s="17">
        <v>0.2</v>
      </c>
      <c r="M143" s="16">
        <v>2258.33</v>
      </c>
      <c r="N143" s="16">
        <v>13550</v>
      </c>
      <c r="O14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11291.67</v>
      </c>
      <c r="P143" s="12" t="s">
        <v>36</v>
      </c>
      <c r="Q143" s="12"/>
      <c r="R143" s="13" t="s">
        <v>274</v>
      </c>
      <c r="S143" s="18" t="s">
        <v>46</v>
      </c>
      <c r="T143" s="12"/>
      <c r="U143" s="12" t="s">
        <v>41</v>
      </c>
      <c r="V143" s="19"/>
      <c r="W143" s="12"/>
      <c r="X143" s="20" t="s">
        <v>41</v>
      </c>
      <c r="Y143" s="25" t="str">
        <f>VLOOKUP(Таблица2[[#This Row],[Номер заказа]],[1]!Таблица1[#Data],MATCH("Поставщик",[1]!Таблица1[#Headers],0),FALSE)</f>
        <v>БСК ООО</v>
      </c>
      <c r="Z143" s="26" t="s">
        <v>275</v>
      </c>
      <c r="AA143" s="27">
        <f>VLOOKUP(Таблица2[[#This Row],[Номер заказа]],[1]!Таблица1[#Data],MATCH("Дата",[1]!Таблица1[#Headers],0),FALSE)+0</f>
        <v>45575</v>
      </c>
      <c r="AB143" s="28" t="str">
        <f>VLOOKUP(Таблица2[[#This Row],[Номер заказа]],[1]!Таблица1[#Data],MATCH("Валюта",[1]!Таблица1[#Headers],0),FALSE)</f>
        <v>руб.</v>
      </c>
      <c r="AC143" s="28">
        <f>_xlfn.XLOOKUP(Таблица2[[#This Row],[Номенклатура]],[1]!Таблица24[Наименование],[1]!Таблица24[Кол-во],"Нет на складе",0)</f>
        <v>2</v>
      </c>
    </row>
    <row r="144" spans="1:29" ht="14.25" customHeight="1" x14ac:dyDescent="0.2">
      <c r="A144" s="10" t="s">
        <v>281</v>
      </c>
      <c r="B144" s="11">
        <v>1</v>
      </c>
      <c r="C144" s="12"/>
      <c r="D144" s="13" t="s">
        <v>282</v>
      </c>
      <c r="E144" s="12"/>
      <c r="F144" s="14">
        <v>6</v>
      </c>
      <c r="G144" s="12"/>
      <c r="H144" s="15" t="s">
        <v>35</v>
      </c>
      <c r="I144" s="12"/>
      <c r="J144" s="16">
        <v>510</v>
      </c>
      <c r="K144" s="16">
        <v>3060</v>
      </c>
      <c r="L144" s="17">
        <v>0.2</v>
      </c>
      <c r="M144" s="16">
        <v>510</v>
      </c>
      <c r="N144" s="16">
        <v>3060</v>
      </c>
      <c r="O14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2550</v>
      </c>
      <c r="P144" s="12" t="s">
        <v>36</v>
      </c>
      <c r="Q144" s="12" t="s">
        <v>80</v>
      </c>
      <c r="R144" s="13" t="s">
        <v>274</v>
      </c>
      <c r="S144" s="18" t="s">
        <v>46</v>
      </c>
      <c r="T144" s="12" t="s">
        <v>283</v>
      </c>
      <c r="U144" s="12" t="s">
        <v>41</v>
      </c>
      <c r="V144" s="19"/>
      <c r="W144" s="12"/>
      <c r="X144" s="20" t="s">
        <v>41</v>
      </c>
      <c r="Y144" s="25" t="str">
        <f>VLOOKUP(Таблица2[[#This Row],[Номер заказа]],[1]!Таблица1[#Data],MATCH("Поставщик",[1]!Таблица1[#Headers],0),FALSE)</f>
        <v>БСК ООО</v>
      </c>
      <c r="Z144" s="26" t="s">
        <v>275</v>
      </c>
      <c r="AA144" s="27">
        <f>VLOOKUP(Таблица2[[#This Row],[Номер заказа]],[1]!Таблица1[#Data],MATCH("Дата",[1]!Таблица1[#Headers],0),FALSE)+0</f>
        <v>45611</v>
      </c>
      <c r="AB144" s="28" t="str">
        <f>VLOOKUP(Таблица2[[#This Row],[Номер заказа]],[1]!Таблица1[#Data],MATCH("Валюта",[1]!Таблица1[#Headers],0),FALSE)</f>
        <v>руб.</v>
      </c>
      <c r="AC144" s="28">
        <f>_xlfn.XLOOKUP(Таблица2[[#This Row],[Номенклатура]],[1]!Таблица24[Наименование],[1]!Таблица24[Кол-во],"Нет на складе",0)</f>
        <v>6</v>
      </c>
    </row>
    <row r="145" spans="1:29" ht="14.25" customHeight="1" x14ac:dyDescent="0.2">
      <c r="A145" s="10" t="s">
        <v>281</v>
      </c>
      <c r="B145" s="11">
        <v>2</v>
      </c>
      <c r="C145" s="12"/>
      <c r="D145" s="13" t="s">
        <v>284</v>
      </c>
      <c r="E145" s="12"/>
      <c r="F145" s="14">
        <v>48</v>
      </c>
      <c r="G145" s="12"/>
      <c r="H145" s="15" t="s">
        <v>35</v>
      </c>
      <c r="I145" s="12"/>
      <c r="J145" s="16">
        <v>240</v>
      </c>
      <c r="K145" s="16">
        <v>11520</v>
      </c>
      <c r="L145" s="17">
        <v>0.2</v>
      </c>
      <c r="M145" s="16">
        <v>1920</v>
      </c>
      <c r="N145" s="16">
        <v>11520</v>
      </c>
      <c r="O14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9600</v>
      </c>
      <c r="P145" s="12" t="s">
        <v>36</v>
      </c>
      <c r="Q145" s="12" t="s">
        <v>80</v>
      </c>
      <c r="R145" s="13" t="s">
        <v>274</v>
      </c>
      <c r="S145" s="18" t="s">
        <v>46</v>
      </c>
      <c r="T145" s="12" t="s">
        <v>283</v>
      </c>
      <c r="U145" s="12" t="s">
        <v>41</v>
      </c>
      <c r="V145" s="19"/>
      <c r="W145" s="12"/>
      <c r="X145" s="20" t="s">
        <v>41</v>
      </c>
      <c r="Y145" s="25" t="str">
        <f>VLOOKUP(Таблица2[[#This Row],[Номер заказа]],[1]!Таблица1[#Data],MATCH("Поставщик",[1]!Таблица1[#Headers],0),FALSE)</f>
        <v>БСК ООО</v>
      </c>
      <c r="Z145" s="26" t="s">
        <v>275</v>
      </c>
      <c r="AA145" s="27">
        <f>VLOOKUP(Таблица2[[#This Row],[Номер заказа]],[1]!Таблица1[#Data],MATCH("Дата",[1]!Таблица1[#Headers],0),FALSE)+0</f>
        <v>45611</v>
      </c>
      <c r="AB145" s="28" t="str">
        <f>VLOOKUP(Таблица2[[#This Row],[Номер заказа]],[1]!Таблица1[#Data],MATCH("Валюта",[1]!Таблица1[#Headers],0),FALSE)</f>
        <v>руб.</v>
      </c>
      <c r="AC145" s="28">
        <f>_xlfn.XLOOKUP(Таблица2[[#This Row],[Номенклатура]],[1]!Таблица24[Наименование],[1]!Таблица24[Кол-во],"Нет на складе",0)</f>
        <v>48</v>
      </c>
    </row>
    <row r="146" spans="1:29" ht="14.25" customHeight="1" x14ac:dyDescent="0.2">
      <c r="A146" s="10" t="s">
        <v>281</v>
      </c>
      <c r="B146" s="11">
        <v>3</v>
      </c>
      <c r="C146" s="12"/>
      <c r="D146" s="13" t="s">
        <v>285</v>
      </c>
      <c r="E146" s="12"/>
      <c r="F146" s="14">
        <v>48</v>
      </c>
      <c r="G146" s="12"/>
      <c r="H146" s="15" t="s">
        <v>35</v>
      </c>
      <c r="I146" s="12"/>
      <c r="J146" s="16">
        <v>150</v>
      </c>
      <c r="K146" s="16">
        <v>7200</v>
      </c>
      <c r="L146" s="17">
        <v>0.2</v>
      </c>
      <c r="M146" s="16">
        <v>1200</v>
      </c>
      <c r="N146" s="16">
        <v>7200</v>
      </c>
      <c r="O14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</v>
      </c>
      <c r="P146" s="12" t="s">
        <v>36</v>
      </c>
      <c r="Q146" s="12" t="s">
        <v>80</v>
      </c>
      <c r="R146" s="13" t="s">
        <v>274</v>
      </c>
      <c r="S146" s="18" t="s">
        <v>46</v>
      </c>
      <c r="T146" s="12" t="s">
        <v>283</v>
      </c>
      <c r="U146" s="12" t="s">
        <v>41</v>
      </c>
      <c r="V146" s="19"/>
      <c r="W146" s="12"/>
      <c r="X146" s="20" t="s">
        <v>41</v>
      </c>
      <c r="Y146" s="25" t="str">
        <f>VLOOKUP(Таблица2[[#This Row],[Номер заказа]],[1]!Таблица1[#Data],MATCH("Поставщик",[1]!Таблица1[#Headers],0),FALSE)</f>
        <v>БСК ООО</v>
      </c>
      <c r="Z146" s="26" t="s">
        <v>275</v>
      </c>
      <c r="AA146" s="27">
        <f>VLOOKUP(Таблица2[[#This Row],[Номер заказа]],[1]!Таблица1[#Data],MATCH("Дата",[1]!Таблица1[#Headers],0),FALSE)+0</f>
        <v>45611</v>
      </c>
      <c r="AB146" s="28" t="str">
        <f>VLOOKUP(Таблица2[[#This Row],[Номер заказа]],[1]!Таблица1[#Data],MATCH("Валюта",[1]!Таблица1[#Headers],0),FALSE)</f>
        <v>руб.</v>
      </c>
      <c r="AC146" s="28">
        <f>_xlfn.XLOOKUP(Таблица2[[#This Row],[Номенклатура]],[1]!Таблица24[Наименование],[1]!Таблица24[Кол-во],"Нет на складе",0)</f>
        <v>48</v>
      </c>
    </row>
    <row r="147" spans="1:29" ht="14.25" customHeight="1" x14ac:dyDescent="0.2">
      <c r="A147" s="10" t="s">
        <v>281</v>
      </c>
      <c r="B147" s="11">
        <v>4</v>
      </c>
      <c r="C147" s="12"/>
      <c r="D147" s="13" t="s">
        <v>286</v>
      </c>
      <c r="E147" s="12"/>
      <c r="F147" s="14">
        <v>4</v>
      </c>
      <c r="G147" s="12"/>
      <c r="H147" s="15" t="s">
        <v>35</v>
      </c>
      <c r="I147" s="12"/>
      <c r="J147" s="16">
        <v>3095</v>
      </c>
      <c r="K147" s="16">
        <v>12380</v>
      </c>
      <c r="L147" s="17">
        <v>0.2</v>
      </c>
      <c r="M147" s="16">
        <v>2063.33</v>
      </c>
      <c r="N147" s="16">
        <v>12380</v>
      </c>
      <c r="O14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10316.67</v>
      </c>
      <c r="P147" s="12" t="s">
        <v>36</v>
      </c>
      <c r="Q147" s="12" t="s">
        <v>80</v>
      </c>
      <c r="R147" s="13" t="s">
        <v>274</v>
      </c>
      <c r="S147" s="18" t="s">
        <v>46</v>
      </c>
      <c r="T147" s="12" t="s">
        <v>283</v>
      </c>
      <c r="U147" s="12" t="s">
        <v>41</v>
      </c>
      <c r="V147" s="19"/>
      <c r="W147" s="12"/>
      <c r="X147" s="20" t="s">
        <v>41</v>
      </c>
      <c r="Y147" s="25" t="str">
        <f>VLOOKUP(Таблица2[[#This Row],[Номер заказа]],[1]!Таблица1[#Data],MATCH("Поставщик",[1]!Таблица1[#Headers],0),FALSE)</f>
        <v>БСК ООО</v>
      </c>
      <c r="Z147" s="26" t="s">
        <v>275</v>
      </c>
      <c r="AA147" s="27">
        <f>VLOOKUP(Таблица2[[#This Row],[Номер заказа]],[1]!Таблица1[#Data],MATCH("Дата",[1]!Таблица1[#Headers],0),FALSE)+0</f>
        <v>45611</v>
      </c>
      <c r="AB147" s="28" t="str">
        <f>VLOOKUP(Таблица2[[#This Row],[Номер заказа]],[1]!Таблица1[#Data],MATCH("Валюта",[1]!Таблица1[#Headers],0),FALSE)</f>
        <v>руб.</v>
      </c>
      <c r="AC147" s="28">
        <f>_xlfn.XLOOKUP(Таблица2[[#This Row],[Номенклатура]],[1]!Таблица24[Наименование],[1]!Таблица24[Кол-во],"Нет на складе",0)</f>
        <v>4</v>
      </c>
    </row>
    <row r="148" spans="1:29" ht="14.25" customHeight="1" x14ac:dyDescent="0.2">
      <c r="A148" s="10" t="s">
        <v>281</v>
      </c>
      <c r="B148" s="11">
        <v>5</v>
      </c>
      <c r="C148" s="12"/>
      <c r="D148" s="13" t="s">
        <v>287</v>
      </c>
      <c r="E148" s="12"/>
      <c r="F148" s="14">
        <v>4</v>
      </c>
      <c r="G148" s="12"/>
      <c r="H148" s="15" t="s">
        <v>35</v>
      </c>
      <c r="I148" s="12"/>
      <c r="J148" s="16">
        <v>9775</v>
      </c>
      <c r="K148" s="16">
        <v>39100</v>
      </c>
      <c r="L148" s="17">
        <v>0.2</v>
      </c>
      <c r="M148" s="16">
        <v>6516.67</v>
      </c>
      <c r="N148" s="16">
        <v>39100</v>
      </c>
      <c r="O14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32583.33</v>
      </c>
      <c r="P148" s="12" t="s">
        <v>36</v>
      </c>
      <c r="Q148" s="12" t="s">
        <v>80</v>
      </c>
      <c r="R148" s="13" t="s">
        <v>274</v>
      </c>
      <c r="S148" s="18" t="s">
        <v>46</v>
      </c>
      <c r="T148" s="12" t="s">
        <v>283</v>
      </c>
      <c r="U148" s="12" t="s">
        <v>41</v>
      </c>
      <c r="V148" s="19"/>
      <c r="W148" s="12"/>
      <c r="X148" s="20" t="s">
        <v>41</v>
      </c>
      <c r="Y148" s="25" t="str">
        <f>VLOOKUP(Таблица2[[#This Row],[Номер заказа]],[1]!Таблица1[#Data],MATCH("Поставщик",[1]!Таблица1[#Headers],0),FALSE)</f>
        <v>БСК ООО</v>
      </c>
      <c r="Z148" s="26" t="s">
        <v>275</v>
      </c>
      <c r="AA148" s="27">
        <f>VLOOKUP(Таблица2[[#This Row],[Номер заказа]],[1]!Таблица1[#Data],MATCH("Дата",[1]!Таблица1[#Headers],0),FALSE)+0</f>
        <v>45611</v>
      </c>
      <c r="AB148" s="28" t="str">
        <f>VLOOKUP(Таблица2[[#This Row],[Номер заказа]],[1]!Таблица1[#Data],MATCH("Валюта",[1]!Таблица1[#Headers],0),FALSE)</f>
        <v>руб.</v>
      </c>
      <c r="AC148" s="28">
        <f>_xlfn.XLOOKUP(Таблица2[[#This Row],[Номенклатура]],[1]!Таблица24[Наименование],[1]!Таблица24[Кол-во],"Нет на складе",0)</f>
        <v>4</v>
      </c>
    </row>
    <row r="149" spans="1:29" ht="14.25" customHeight="1" x14ac:dyDescent="0.2">
      <c r="A149" s="10" t="s">
        <v>281</v>
      </c>
      <c r="B149" s="11">
        <v>6</v>
      </c>
      <c r="C149" s="12"/>
      <c r="D149" s="13" t="s">
        <v>288</v>
      </c>
      <c r="E149" s="12"/>
      <c r="F149" s="14">
        <v>2</v>
      </c>
      <c r="G149" s="12"/>
      <c r="H149" s="15" t="s">
        <v>35</v>
      </c>
      <c r="I149" s="12"/>
      <c r="J149" s="16">
        <v>6775</v>
      </c>
      <c r="K149" s="16">
        <v>13550</v>
      </c>
      <c r="L149" s="17">
        <v>0.2</v>
      </c>
      <c r="M149" s="16">
        <v>2258.33</v>
      </c>
      <c r="N149" s="16">
        <v>13550</v>
      </c>
      <c r="O14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11291.67</v>
      </c>
      <c r="P149" s="12" t="s">
        <v>36</v>
      </c>
      <c r="Q149" s="12" t="s">
        <v>80</v>
      </c>
      <c r="R149" s="13" t="s">
        <v>274</v>
      </c>
      <c r="S149" s="18" t="s">
        <v>46</v>
      </c>
      <c r="T149" s="12" t="s">
        <v>283</v>
      </c>
      <c r="U149" s="12" t="s">
        <v>41</v>
      </c>
      <c r="V149" s="19"/>
      <c r="W149" s="12"/>
      <c r="X149" s="20" t="s">
        <v>41</v>
      </c>
      <c r="Y149" s="25" t="str">
        <f>VLOOKUP(Таблица2[[#This Row],[Номер заказа]],[1]!Таблица1[#Data],MATCH("Поставщик",[1]!Таблица1[#Headers],0),FALSE)</f>
        <v>БСК ООО</v>
      </c>
      <c r="Z149" s="26" t="s">
        <v>275</v>
      </c>
      <c r="AA149" s="27">
        <f>VLOOKUP(Таблица2[[#This Row],[Номер заказа]],[1]!Таблица1[#Data],MATCH("Дата",[1]!Таблица1[#Headers],0),FALSE)+0</f>
        <v>45611</v>
      </c>
      <c r="AB149" s="28" t="str">
        <f>VLOOKUP(Таблица2[[#This Row],[Номер заказа]],[1]!Таблица1[#Data],MATCH("Валюта",[1]!Таблица1[#Headers],0),FALSE)</f>
        <v>руб.</v>
      </c>
      <c r="AC149" s="28">
        <f>_xlfn.XLOOKUP(Таблица2[[#This Row],[Номенклатура]],[1]!Таблица24[Наименование],[1]!Таблица24[Кол-во],"Нет на складе",0)</f>
        <v>2</v>
      </c>
    </row>
    <row r="150" spans="1:29" ht="14.25" customHeight="1" x14ac:dyDescent="0.2">
      <c r="A150" s="10" t="s">
        <v>289</v>
      </c>
      <c r="B150" s="11">
        <v>1</v>
      </c>
      <c r="C150" s="12"/>
      <c r="D150" s="13" t="s">
        <v>290</v>
      </c>
      <c r="E150" s="12"/>
      <c r="F150" s="14">
        <v>4</v>
      </c>
      <c r="G150" s="12"/>
      <c r="H150" s="15" t="s">
        <v>35</v>
      </c>
      <c r="I150" s="12"/>
      <c r="J150" s="16">
        <v>7380</v>
      </c>
      <c r="K150" s="16">
        <v>29520</v>
      </c>
      <c r="L150" s="17">
        <v>0.2</v>
      </c>
      <c r="M150" s="16">
        <v>4920</v>
      </c>
      <c r="N150" s="16">
        <v>29520</v>
      </c>
      <c r="O15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24600</v>
      </c>
      <c r="P150" s="12" t="s">
        <v>36</v>
      </c>
      <c r="Q150" s="12" t="s">
        <v>53</v>
      </c>
      <c r="R150" s="13" t="s">
        <v>54</v>
      </c>
      <c r="S150" s="18" t="s">
        <v>46</v>
      </c>
      <c r="T150" s="12" t="s">
        <v>40</v>
      </c>
      <c r="U150" s="12" t="s">
        <v>41</v>
      </c>
      <c r="V150" s="19" t="s">
        <v>291</v>
      </c>
      <c r="W150" s="26"/>
      <c r="X150" s="29" t="s">
        <v>41</v>
      </c>
      <c r="Y150" s="25" t="str">
        <f>VLOOKUP(Таблица2[[#This Row],[Номер заказа]],[1]!Таблица1[#Data],MATCH("Поставщик",[1]!Таблица1[#Headers],0),FALSE)</f>
        <v>ПРОМЫШЛЕННАЯ АВТОМАТИЗАЦИЯ ООО</v>
      </c>
      <c r="Z150" s="26" t="s">
        <v>56</v>
      </c>
      <c r="AA150" s="27">
        <f>VLOOKUP(Таблица2[[#This Row],[Номер заказа]],[1]!Таблица1[#Data],MATCH("Дата",[1]!Таблица1[#Headers],0),FALSE)+0</f>
        <v>45576</v>
      </c>
      <c r="AB150" s="28" t="str">
        <f>VLOOKUP(Таблица2[[#This Row],[Номер заказа]],[1]!Таблица1[#Data],MATCH("Валюта",[1]!Таблица1[#Headers],0),FALSE)</f>
        <v>руб.</v>
      </c>
      <c r="AC150" s="28">
        <f>_xlfn.XLOOKUP(Таблица2[[#This Row],[Номенклатура]],[1]!Таблица24[Наименование],[1]!Таблица24[Кол-во],"Нет на складе",0)</f>
        <v>4</v>
      </c>
    </row>
    <row r="151" spans="1:29" ht="14.25" customHeight="1" x14ac:dyDescent="0.2">
      <c r="A151" s="10" t="s">
        <v>292</v>
      </c>
      <c r="B151" s="11">
        <v>1</v>
      </c>
      <c r="C151" s="12"/>
      <c r="D151" s="13" t="s">
        <v>293</v>
      </c>
      <c r="E151" s="12"/>
      <c r="F151" s="14">
        <v>2</v>
      </c>
      <c r="G151" s="12"/>
      <c r="H151" s="15" t="s">
        <v>35</v>
      </c>
      <c r="I151" s="12"/>
      <c r="J151" s="16">
        <v>2767</v>
      </c>
      <c r="K151" s="16">
        <v>5534</v>
      </c>
      <c r="L151" s="17">
        <v>0.2</v>
      </c>
      <c r="M151" s="16">
        <v>922.33</v>
      </c>
      <c r="N151" s="16">
        <v>5534</v>
      </c>
      <c r="O15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4611.67</v>
      </c>
      <c r="P151" s="12" t="s">
        <v>36</v>
      </c>
      <c r="Q151" s="12" t="s">
        <v>89</v>
      </c>
      <c r="R151" s="13" t="s">
        <v>54</v>
      </c>
      <c r="S151" s="18" t="s">
        <v>46</v>
      </c>
      <c r="T151" s="12" t="s">
        <v>40</v>
      </c>
      <c r="U151" s="12" t="s">
        <v>41</v>
      </c>
      <c r="V151" s="19" t="s">
        <v>294</v>
      </c>
      <c r="W151" s="26"/>
      <c r="X151" s="29" t="s">
        <v>41</v>
      </c>
      <c r="Y151" s="25" t="str">
        <f>VLOOKUP(Таблица2[[#This Row],[Номер заказа]],[1]!Таблица1[#Data],MATCH("Поставщик",[1]!Таблица1[#Headers],0),FALSE)</f>
        <v>ЭНЕРГ-ОН ООО</v>
      </c>
      <c r="Z151" s="26" t="s">
        <v>56</v>
      </c>
      <c r="AA151" s="27">
        <f>VLOOKUP(Таблица2[[#This Row],[Номер заказа]],[1]!Таблица1[#Data],MATCH("Дата",[1]!Таблица1[#Headers],0),FALSE)+0</f>
        <v>45590</v>
      </c>
      <c r="AB151" s="28" t="str">
        <f>VLOOKUP(Таблица2[[#This Row],[Номер заказа]],[1]!Таблица1[#Data],MATCH("Валюта",[1]!Таблица1[#Headers],0),FALSE)</f>
        <v>руб.</v>
      </c>
      <c r="AC151" s="28">
        <f>_xlfn.XLOOKUP(Таблица2[[#This Row],[Номенклатура]],[1]!Таблица24[Наименование],[1]!Таблица24[Кол-во],"Нет на складе",0)</f>
        <v>2</v>
      </c>
    </row>
    <row r="152" spans="1:29" ht="14.25" customHeight="1" x14ac:dyDescent="0.2">
      <c r="A152" s="10" t="s">
        <v>295</v>
      </c>
      <c r="B152" s="11">
        <v>1</v>
      </c>
      <c r="C152" s="12"/>
      <c r="D152" s="13" t="s">
        <v>296</v>
      </c>
      <c r="E152" s="12"/>
      <c r="F152" s="14">
        <v>1</v>
      </c>
      <c r="G152" s="12"/>
      <c r="H152" s="15" t="s">
        <v>88</v>
      </c>
      <c r="I152" s="12"/>
      <c r="J152" s="16">
        <v>3754</v>
      </c>
      <c r="K152" s="16">
        <v>3754</v>
      </c>
      <c r="L152" s="17">
        <v>0.2</v>
      </c>
      <c r="M152" s="16">
        <v>625.66999999999996</v>
      </c>
      <c r="N152" s="16">
        <v>3754</v>
      </c>
      <c r="O15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3128.33</v>
      </c>
      <c r="P152" s="12" t="s">
        <v>36</v>
      </c>
      <c r="Q152" s="12" t="s">
        <v>80</v>
      </c>
      <c r="R152" s="13" t="s">
        <v>297</v>
      </c>
      <c r="S152" s="18" t="s">
        <v>46</v>
      </c>
      <c r="T152" s="12" t="s">
        <v>40</v>
      </c>
      <c r="U152" s="12" t="s">
        <v>41</v>
      </c>
      <c r="V152" s="19"/>
      <c r="W152" s="12"/>
      <c r="X152" s="20" t="s">
        <v>41</v>
      </c>
      <c r="Y152" s="25" t="str">
        <f>VLOOKUP(Таблица2[[#This Row],[Номер заказа]],[1]!Таблица1[#Data],MATCH("Поставщик",[1]!Таблица1[#Headers],0),FALSE)</f>
        <v>ФЛИСБАНТ ООО</v>
      </c>
      <c r="Z152" s="26" t="s">
        <v>298</v>
      </c>
      <c r="AA152" s="27">
        <f>VLOOKUP(Таблица2[[#This Row],[Номер заказа]],[1]!Таблица1[#Data],MATCH("Дата",[1]!Таблица1[#Headers],0),FALSE)+0</f>
        <v>45594</v>
      </c>
      <c r="AB152" s="28" t="str">
        <f>VLOOKUP(Таблица2[[#This Row],[Номер заказа]],[1]!Таблица1[#Data],MATCH("Валюта",[1]!Таблица1[#Headers],0),FALSE)</f>
        <v>руб.</v>
      </c>
      <c r="AC152" s="28">
        <f>_xlfn.XLOOKUP(Таблица2[[#This Row],[Номенклатура]],[1]!Таблица24[Наименование],[1]!Таблица24[Кол-во],"Нет на складе",0)</f>
        <v>1</v>
      </c>
    </row>
    <row r="153" spans="1:29" ht="14.25" customHeight="1" x14ac:dyDescent="0.2">
      <c r="A153" s="10" t="s">
        <v>295</v>
      </c>
      <c r="B153" s="11">
        <v>2</v>
      </c>
      <c r="C153" s="12"/>
      <c r="D153" s="13" t="s">
        <v>299</v>
      </c>
      <c r="E153" s="12"/>
      <c r="F153" s="14">
        <v>1</v>
      </c>
      <c r="G153" s="12"/>
      <c r="H153" s="15" t="s">
        <v>35</v>
      </c>
      <c r="I153" s="12"/>
      <c r="J153" s="16">
        <v>6107</v>
      </c>
      <c r="K153" s="16">
        <v>6107</v>
      </c>
      <c r="L153" s="17">
        <v>0.2</v>
      </c>
      <c r="M153" s="16">
        <v>1017.83</v>
      </c>
      <c r="N153" s="16">
        <v>6107</v>
      </c>
      <c r="O15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5089.17</v>
      </c>
      <c r="P153" s="12" t="s">
        <v>36</v>
      </c>
      <c r="Q153" s="12" t="s">
        <v>80</v>
      </c>
      <c r="R153" s="13" t="s">
        <v>297</v>
      </c>
      <c r="S153" s="18" t="s">
        <v>46</v>
      </c>
      <c r="T153" s="12" t="s">
        <v>40</v>
      </c>
      <c r="U153" s="12" t="s">
        <v>41</v>
      </c>
      <c r="V153" s="19"/>
      <c r="W153" s="12"/>
      <c r="X153" s="20" t="s">
        <v>41</v>
      </c>
      <c r="Y153" s="25" t="str">
        <f>VLOOKUP(Таблица2[[#This Row],[Номер заказа]],[1]!Таблица1[#Data],MATCH("Поставщик",[1]!Таблица1[#Headers],0),FALSE)</f>
        <v>ФЛИСБАНТ ООО</v>
      </c>
      <c r="Z153" s="26" t="s">
        <v>298</v>
      </c>
      <c r="AA153" s="27">
        <f>VLOOKUP(Таблица2[[#This Row],[Номер заказа]],[1]!Таблица1[#Data],MATCH("Дата",[1]!Таблица1[#Headers],0),FALSE)+0</f>
        <v>45594</v>
      </c>
      <c r="AB153" s="28" t="str">
        <f>VLOOKUP(Таблица2[[#This Row],[Номер заказа]],[1]!Таблица1[#Data],MATCH("Валюта",[1]!Таблица1[#Headers],0),FALSE)</f>
        <v>руб.</v>
      </c>
      <c r="AC153" s="28">
        <f>_xlfn.XLOOKUP(Таблица2[[#This Row],[Номенклатура]],[1]!Таблица24[Наименование],[1]!Таблица24[Кол-во],"Нет на складе",0)</f>
        <v>1</v>
      </c>
    </row>
    <row r="154" spans="1:29" ht="14.25" customHeight="1" x14ac:dyDescent="0.2">
      <c r="A154" s="10" t="s">
        <v>122</v>
      </c>
      <c r="B154" s="11">
        <v>1</v>
      </c>
      <c r="C154" s="12"/>
      <c r="D154" s="13" t="s">
        <v>300</v>
      </c>
      <c r="E154" s="12"/>
      <c r="F154" s="14">
        <v>1</v>
      </c>
      <c r="G154" s="12"/>
      <c r="H154" s="15" t="s">
        <v>35</v>
      </c>
      <c r="I154" s="12"/>
      <c r="J154" s="16">
        <v>1106</v>
      </c>
      <c r="K154" s="16">
        <v>1106</v>
      </c>
      <c r="L154" s="17">
        <v>0.2</v>
      </c>
      <c r="M154" s="16">
        <v>184.33</v>
      </c>
      <c r="N154" s="16">
        <v>1106</v>
      </c>
      <c r="O15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921.67</v>
      </c>
      <c r="P154" s="12" t="s">
        <v>36</v>
      </c>
      <c r="Q154" s="12" t="s">
        <v>80</v>
      </c>
      <c r="R154" s="13" t="s">
        <v>301</v>
      </c>
      <c r="S154" s="18" t="s">
        <v>46</v>
      </c>
      <c r="T154" s="12" t="s">
        <v>40</v>
      </c>
      <c r="U154" s="12" t="s">
        <v>41</v>
      </c>
      <c r="V154" s="19" t="s">
        <v>126</v>
      </c>
      <c r="W154" s="26"/>
      <c r="X154" s="29" t="s">
        <v>41</v>
      </c>
      <c r="Y154" s="25" t="str">
        <f>VLOOKUP(Таблица2[[#This Row],[Номер заказа]],[1]!Таблица1[#Data],MATCH("Поставщик",[1]!Таблица1[#Headers],0),FALSE)</f>
        <v>ВСЕИНСТРУМЕНТЫ.РУ ООО</v>
      </c>
      <c r="Z154" s="26" t="s">
        <v>298</v>
      </c>
      <c r="AA154" s="27">
        <f>VLOOKUP(Таблица2[[#This Row],[Номер заказа]],[1]!Таблица1[#Data],MATCH("Дата",[1]!Таблица1[#Headers],0),FALSE)+0</f>
        <v>45594</v>
      </c>
      <c r="AB154" s="28" t="str">
        <f>VLOOKUP(Таблица2[[#This Row],[Номер заказа]],[1]!Таблица1[#Data],MATCH("Валюта",[1]!Таблица1[#Headers],0),FALSE)</f>
        <v>руб.</v>
      </c>
      <c r="AC154" s="28">
        <f>_xlfn.XLOOKUP(Таблица2[[#This Row],[Номенклатура]],[1]!Таблица24[Наименование],[1]!Таблица24[Кол-во],"Нет на складе",0)</f>
        <v>1</v>
      </c>
    </row>
    <row r="155" spans="1:29" ht="14.25" customHeight="1" x14ac:dyDescent="0.2">
      <c r="A155" s="10" t="s">
        <v>302</v>
      </c>
      <c r="B155" s="11">
        <v>1</v>
      </c>
      <c r="C155" s="12"/>
      <c r="D155" s="13" t="s">
        <v>303</v>
      </c>
      <c r="E155" s="12"/>
      <c r="F155" s="14">
        <v>2</v>
      </c>
      <c r="G155" s="12"/>
      <c r="H155" s="15" t="s">
        <v>35</v>
      </c>
      <c r="I155" s="12"/>
      <c r="J155" s="16">
        <v>40600</v>
      </c>
      <c r="K155" s="16">
        <v>81200</v>
      </c>
      <c r="L155" s="17">
        <v>0.2</v>
      </c>
      <c r="M155" s="16">
        <v>13533.33</v>
      </c>
      <c r="N155" s="16">
        <v>81200</v>
      </c>
      <c r="O15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67666.67</v>
      </c>
      <c r="P155" s="12" t="s">
        <v>36</v>
      </c>
      <c r="Q155" s="12" t="s">
        <v>80</v>
      </c>
      <c r="R155" s="13" t="s">
        <v>144</v>
      </c>
      <c r="S155" s="18" t="s">
        <v>46</v>
      </c>
      <c r="T155" s="12" t="s">
        <v>40</v>
      </c>
      <c r="U155" s="12" t="s">
        <v>41</v>
      </c>
      <c r="V155" s="19"/>
      <c r="W155" s="12"/>
      <c r="X155" s="20" t="s">
        <v>41</v>
      </c>
      <c r="Y155" s="25" t="str">
        <f>VLOOKUP(Таблица2[[#This Row],[Номер заказа]],[1]!Таблица1[#Data],MATCH("Поставщик",[1]!Таблица1[#Headers],0),FALSE)</f>
        <v>ТЕХНОВИТА ООО</v>
      </c>
      <c r="Z155" s="26" t="s">
        <v>65</v>
      </c>
      <c r="AA155" s="27">
        <f>VLOOKUP(Таблица2[[#This Row],[Номер заказа]],[1]!Таблица1[#Data],MATCH("Дата",[1]!Таблица1[#Headers],0),FALSE)+0</f>
        <v>45595</v>
      </c>
      <c r="AB155" s="28" t="str">
        <f>VLOOKUP(Таблица2[[#This Row],[Номер заказа]],[1]!Таблица1[#Data],MATCH("Валюта",[1]!Таблица1[#Headers],0),FALSE)</f>
        <v>руб.</v>
      </c>
      <c r="AC155" s="28">
        <f>_xlfn.XLOOKUP(Таблица2[[#This Row],[Номенклатура]],[1]!Таблица24[Наименование],[1]!Таблица24[Кол-во],"Нет на складе",0)</f>
        <v>2</v>
      </c>
    </row>
    <row r="156" spans="1:29" ht="14.25" customHeight="1" x14ac:dyDescent="0.2">
      <c r="A156" s="10" t="s">
        <v>302</v>
      </c>
      <c r="B156" s="11">
        <v>2</v>
      </c>
      <c r="C156" s="12"/>
      <c r="D156" s="13" t="s">
        <v>304</v>
      </c>
      <c r="E156" s="12"/>
      <c r="F156" s="14">
        <v>2</v>
      </c>
      <c r="G156" s="12"/>
      <c r="H156" s="15" t="s">
        <v>35</v>
      </c>
      <c r="I156" s="12"/>
      <c r="J156" s="16">
        <v>11630</v>
      </c>
      <c r="K156" s="16">
        <v>23260</v>
      </c>
      <c r="L156" s="17">
        <v>0.2</v>
      </c>
      <c r="M156" s="16">
        <v>3876.67</v>
      </c>
      <c r="N156" s="16">
        <v>23260</v>
      </c>
      <c r="O15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19383.330000000002</v>
      </c>
      <c r="P156" s="12" t="s">
        <v>36</v>
      </c>
      <c r="Q156" s="12" t="s">
        <v>80</v>
      </c>
      <c r="R156" s="13" t="s">
        <v>144</v>
      </c>
      <c r="S156" s="18" t="s">
        <v>46</v>
      </c>
      <c r="T156" s="12" t="s">
        <v>40</v>
      </c>
      <c r="U156" s="12" t="s">
        <v>41</v>
      </c>
      <c r="V156" s="19"/>
      <c r="W156" s="12"/>
      <c r="X156" s="20" t="s">
        <v>41</v>
      </c>
      <c r="Y156" s="25" t="str">
        <f>VLOOKUP(Таблица2[[#This Row],[Номер заказа]],[1]!Таблица1[#Data],MATCH("Поставщик",[1]!Таблица1[#Headers],0),FALSE)</f>
        <v>ТЕХНОВИТА ООО</v>
      </c>
      <c r="Z156" s="26" t="s">
        <v>65</v>
      </c>
      <c r="AA156" s="27">
        <f>VLOOKUP(Таблица2[[#This Row],[Номер заказа]],[1]!Таблица1[#Data],MATCH("Дата",[1]!Таблица1[#Headers],0),FALSE)+0</f>
        <v>45595</v>
      </c>
      <c r="AB156" s="28" t="str">
        <f>VLOOKUP(Таблица2[[#This Row],[Номер заказа]],[1]!Таблица1[#Data],MATCH("Валюта",[1]!Таблица1[#Headers],0),FALSE)</f>
        <v>руб.</v>
      </c>
      <c r="AC156" s="28">
        <f>_xlfn.XLOOKUP(Таблица2[[#This Row],[Номенклатура]],[1]!Таблица24[Наименование],[1]!Таблица24[Кол-во],"Нет на складе",0)</f>
        <v>2</v>
      </c>
    </row>
    <row r="157" spans="1:29" ht="14.25" customHeight="1" x14ac:dyDescent="0.2">
      <c r="A157" s="10" t="s">
        <v>302</v>
      </c>
      <c r="B157" s="11">
        <v>3</v>
      </c>
      <c r="C157" s="12"/>
      <c r="D157" s="13" t="s">
        <v>305</v>
      </c>
      <c r="E157" s="12"/>
      <c r="F157" s="14">
        <v>2</v>
      </c>
      <c r="G157" s="12"/>
      <c r="H157" s="15" t="s">
        <v>35</v>
      </c>
      <c r="I157" s="12"/>
      <c r="J157" s="16">
        <v>11630</v>
      </c>
      <c r="K157" s="16">
        <v>23260</v>
      </c>
      <c r="L157" s="17">
        <v>0.2</v>
      </c>
      <c r="M157" s="16">
        <v>3876.67</v>
      </c>
      <c r="N157" s="16">
        <v>23260</v>
      </c>
      <c r="O15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19383.330000000002</v>
      </c>
      <c r="P157" s="12" t="s">
        <v>36</v>
      </c>
      <c r="Q157" s="12" t="s">
        <v>80</v>
      </c>
      <c r="R157" s="13" t="s">
        <v>144</v>
      </c>
      <c r="S157" s="18" t="s">
        <v>46</v>
      </c>
      <c r="T157" s="12" t="s">
        <v>40</v>
      </c>
      <c r="U157" s="12" t="s">
        <v>41</v>
      </c>
      <c r="V157" s="19"/>
      <c r="W157" s="12"/>
      <c r="X157" s="20" t="s">
        <v>41</v>
      </c>
      <c r="Y157" s="25" t="str">
        <f>VLOOKUP(Таблица2[[#This Row],[Номер заказа]],[1]!Таблица1[#Data],MATCH("Поставщик",[1]!Таблица1[#Headers],0),FALSE)</f>
        <v>ТЕХНОВИТА ООО</v>
      </c>
      <c r="Z157" s="26" t="s">
        <v>65</v>
      </c>
      <c r="AA157" s="27">
        <f>VLOOKUP(Таблица2[[#This Row],[Номер заказа]],[1]!Таблица1[#Data],MATCH("Дата",[1]!Таблица1[#Headers],0),FALSE)+0</f>
        <v>45595</v>
      </c>
      <c r="AB157" s="28" t="str">
        <f>VLOOKUP(Таблица2[[#This Row],[Номер заказа]],[1]!Таблица1[#Data],MATCH("Валюта",[1]!Таблица1[#Headers],0),FALSE)</f>
        <v>руб.</v>
      </c>
      <c r="AC157" s="28">
        <f>_xlfn.XLOOKUP(Таблица2[[#This Row],[Номенклатура]],[1]!Таблица24[Наименование],[1]!Таблица24[Кол-во],"Нет на складе",0)</f>
        <v>2</v>
      </c>
    </row>
    <row r="158" spans="1:29" ht="14.25" customHeight="1" x14ac:dyDescent="0.2">
      <c r="A158" s="10" t="s">
        <v>302</v>
      </c>
      <c r="B158" s="11">
        <v>4</v>
      </c>
      <c r="C158" s="12"/>
      <c r="D158" s="13" t="s">
        <v>306</v>
      </c>
      <c r="E158" s="12"/>
      <c r="F158" s="14">
        <v>2</v>
      </c>
      <c r="G158" s="12"/>
      <c r="H158" s="15" t="s">
        <v>35</v>
      </c>
      <c r="I158" s="12"/>
      <c r="J158" s="16">
        <v>3200</v>
      </c>
      <c r="K158" s="16">
        <v>6400</v>
      </c>
      <c r="L158" s="17">
        <v>0.2</v>
      </c>
      <c r="M158" s="16">
        <v>1066.67</v>
      </c>
      <c r="N158" s="16">
        <v>6400</v>
      </c>
      <c r="O15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5333.33</v>
      </c>
      <c r="P158" s="12" t="s">
        <v>36</v>
      </c>
      <c r="Q158" s="12" t="s">
        <v>80</v>
      </c>
      <c r="R158" s="13" t="s">
        <v>144</v>
      </c>
      <c r="S158" s="18" t="s">
        <v>46</v>
      </c>
      <c r="T158" s="12" t="s">
        <v>40</v>
      </c>
      <c r="U158" s="12" t="s">
        <v>41</v>
      </c>
      <c r="V158" s="19"/>
      <c r="W158" s="12"/>
      <c r="X158" s="20" t="s">
        <v>41</v>
      </c>
      <c r="Y158" s="25" t="str">
        <f>VLOOKUP(Таблица2[[#This Row],[Номер заказа]],[1]!Таблица1[#Data],MATCH("Поставщик",[1]!Таблица1[#Headers],0),FALSE)</f>
        <v>ТЕХНОВИТА ООО</v>
      </c>
      <c r="Z158" s="26" t="s">
        <v>65</v>
      </c>
      <c r="AA158" s="27">
        <f>VLOOKUP(Таблица2[[#This Row],[Номер заказа]],[1]!Таблица1[#Data],MATCH("Дата",[1]!Таблица1[#Headers],0),FALSE)+0</f>
        <v>45595</v>
      </c>
      <c r="AB158" s="28" t="str">
        <f>VLOOKUP(Таблица2[[#This Row],[Номер заказа]],[1]!Таблица1[#Data],MATCH("Валюта",[1]!Таблица1[#Headers],0),FALSE)</f>
        <v>руб.</v>
      </c>
      <c r="AC158" s="28">
        <f>_xlfn.XLOOKUP(Таблица2[[#This Row],[Номенклатура]],[1]!Таблица24[Наименование],[1]!Таблица24[Кол-во],"Нет на складе",0)</f>
        <v>2</v>
      </c>
    </row>
    <row r="159" spans="1:29" ht="14.25" customHeight="1" x14ac:dyDescent="0.2">
      <c r="A159" s="10" t="s">
        <v>307</v>
      </c>
      <c r="B159" s="11">
        <v>1</v>
      </c>
      <c r="C159" s="12"/>
      <c r="D159" s="13" t="s">
        <v>308</v>
      </c>
      <c r="E159" s="12"/>
      <c r="F159" s="14">
        <v>4</v>
      </c>
      <c r="G159" s="12"/>
      <c r="H159" s="15" t="s">
        <v>35</v>
      </c>
      <c r="I159" s="12"/>
      <c r="J159" s="16">
        <v>590.38</v>
      </c>
      <c r="K159" s="16">
        <v>2361.52</v>
      </c>
      <c r="L159" s="17">
        <v>0.2</v>
      </c>
      <c r="M159" s="16">
        <v>393.59</v>
      </c>
      <c r="N159" s="16">
        <v>2361.52</v>
      </c>
      <c r="O15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1967.93</v>
      </c>
      <c r="P159" s="12" t="s">
        <v>36</v>
      </c>
      <c r="Q159" s="12" t="s">
        <v>80</v>
      </c>
      <c r="R159" s="13" t="s">
        <v>138</v>
      </c>
      <c r="S159" s="18" t="s">
        <v>46</v>
      </c>
      <c r="T159" s="12" t="s">
        <v>40</v>
      </c>
      <c r="U159" s="12" t="s">
        <v>41</v>
      </c>
      <c r="V159" s="19"/>
      <c r="W159" s="12"/>
      <c r="X159" s="20" t="s">
        <v>41</v>
      </c>
      <c r="Y159" s="25" t="str">
        <f>VLOOKUP(Таблица2[[#This Row],[Номер заказа]],[1]!Таблица1[#Data],MATCH("Поставщик",[1]!Таблица1[#Headers],0),FALSE)</f>
        <v>УТК-СТАЛЬ ООО (ИНН 4706043243)</v>
      </c>
      <c r="Z159" s="26" t="s">
        <v>275</v>
      </c>
      <c r="AA159" s="27">
        <f>VLOOKUP(Таблица2[[#This Row],[Номер заказа]],[1]!Таблица1[#Data],MATCH("Дата",[1]!Таблица1[#Headers],0),FALSE)+0</f>
        <v>45610</v>
      </c>
      <c r="AB159" s="28" t="str">
        <f>VLOOKUP(Таблица2[[#This Row],[Номер заказа]],[1]!Таблица1[#Data],MATCH("Валюта",[1]!Таблица1[#Headers],0),FALSE)</f>
        <v>руб.</v>
      </c>
      <c r="AC159" s="28">
        <f>_xlfn.XLOOKUP(Таблица2[[#This Row],[Номенклатура]],[1]!Таблица24[Наименование],[1]!Таблица24[Кол-во],"Нет на складе",0)</f>
        <v>4</v>
      </c>
    </row>
    <row r="160" spans="1:29" ht="14.25" customHeight="1" x14ac:dyDescent="0.2">
      <c r="A160" s="10" t="s">
        <v>307</v>
      </c>
      <c r="B160" s="11">
        <v>2</v>
      </c>
      <c r="C160" s="12"/>
      <c r="D160" s="13" t="s">
        <v>309</v>
      </c>
      <c r="E160" s="12"/>
      <c r="F160" s="14">
        <v>8</v>
      </c>
      <c r="G160" s="12"/>
      <c r="H160" s="15" t="s">
        <v>35</v>
      </c>
      <c r="I160" s="12"/>
      <c r="J160" s="16">
        <v>371.58</v>
      </c>
      <c r="K160" s="16">
        <v>2972.64</v>
      </c>
      <c r="L160" s="17">
        <v>0.2</v>
      </c>
      <c r="M160" s="16">
        <v>495.44</v>
      </c>
      <c r="N160" s="16">
        <v>2972.64</v>
      </c>
      <c r="O16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2477.1999999999998</v>
      </c>
      <c r="P160" s="12" t="s">
        <v>36</v>
      </c>
      <c r="Q160" s="12" t="s">
        <v>80</v>
      </c>
      <c r="R160" s="13" t="s">
        <v>138</v>
      </c>
      <c r="S160" s="18" t="s">
        <v>46</v>
      </c>
      <c r="T160" s="12" t="s">
        <v>40</v>
      </c>
      <c r="U160" s="12" t="s">
        <v>41</v>
      </c>
      <c r="V160" s="19"/>
      <c r="W160" s="12"/>
      <c r="X160" s="20" t="s">
        <v>41</v>
      </c>
      <c r="Y160" s="25" t="str">
        <f>VLOOKUP(Таблица2[[#This Row],[Номер заказа]],[1]!Таблица1[#Data],MATCH("Поставщик",[1]!Таблица1[#Headers],0),FALSE)</f>
        <v>УТК-СТАЛЬ ООО (ИНН 4706043243)</v>
      </c>
      <c r="Z160" s="26" t="s">
        <v>141</v>
      </c>
      <c r="AA160" s="27">
        <f>VLOOKUP(Таблица2[[#This Row],[Номер заказа]],[1]!Таблица1[#Data],MATCH("Дата",[1]!Таблица1[#Headers],0),FALSE)+0</f>
        <v>45610</v>
      </c>
      <c r="AB160" s="28" t="str">
        <f>VLOOKUP(Таблица2[[#This Row],[Номер заказа]],[1]!Таблица1[#Data],MATCH("Валюта",[1]!Таблица1[#Headers],0),FALSE)</f>
        <v>руб.</v>
      </c>
      <c r="AC160" s="28">
        <f>_xlfn.XLOOKUP(Таблица2[[#This Row],[Номенклатура]],[1]!Таблица24[Наименование],[1]!Таблица24[Кол-во],"Нет на складе",0)</f>
        <v>8</v>
      </c>
    </row>
    <row r="161" spans="1:29" ht="14.25" customHeight="1" x14ac:dyDescent="0.2">
      <c r="A161" s="10" t="s">
        <v>307</v>
      </c>
      <c r="B161" s="11">
        <v>3</v>
      </c>
      <c r="C161" s="12"/>
      <c r="D161" s="13" t="s">
        <v>310</v>
      </c>
      <c r="E161" s="12"/>
      <c r="F161" s="14">
        <v>8</v>
      </c>
      <c r="G161" s="12"/>
      <c r="H161" s="15" t="s">
        <v>35</v>
      </c>
      <c r="I161" s="12"/>
      <c r="J161" s="16">
        <v>260.27999999999997</v>
      </c>
      <c r="K161" s="16">
        <v>2082.2399999999998</v>
      </c>
      <c r="L161" s="17">
        <v>0.2</v>
      </c>
      <c r="M161" s="16">
        <v>347.04</v>
      </c>
      <c r="N161" s="16">
        <v>2082.2399999999998</v>
      </c>
      <c r="O16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1735.1999999999998</v>
      </c>
      <c r="P161" s="12" t="s">
        <v>36</v>
      </c>
      <c r="Q161" s="12" t="s">
        <v>80</v>
      </c>
      <c r="R161" s="13" t="s">
        <v>138</v>
      </c>
      <c r="S161" s="18" t="s">
        <v>46</v>
      </c>
      <c r="T161" s="12" t="s">
        <v>40</v>
      </c>
      <c r="U161" s="12" t="s">
        <v>41</v>
      </c>
      <c r="V161" s="19"/>
      <c r="W161" s="12"/>
      <c r="X161" s="20" t="s">
        <v>41</v>
      </c>
      <c r="Y161" s="25" t="str">
        <f>VLOOKUP(Таблица2[[#This Row],[Номер заказа]],[1]!Таблица1[#Data],MATCH("Поставщик",[1]!Таблица1[#Headers],0),FALSE)</f>
        <v>УТК-СТАЛЬ ООО (ИНН 4706043243)</v>
      </c>
      <c r="Z161" s="26" t="s">
        <v>141</v>
      </c>
      <c r="AA161" s="27">
        <f>VLOOKUP(Таблица2[[#This Row],[Номер заказа]],[1]!Таблица1[#Data],MATCH("Дата",[1]!Таблица1[#Headers],0),FALSE)+0</f>
        <v>45610</v>
      </c>
      <c r="AB161" s="28" t="str">
        <f>VLOOKUP(Таблица2[[#This Row],[Номер заказа]],[1]!Таблица1[#Data],MATCH("Валюта",[1]!Таблица1[#Headers],0),FALSE)</f>
        <v>руб.</v>
      </c>
      <c r="AC161" s="28">
        <f>_xlfn.XLOOKUP(Таблица2[[#This Row],[Номенклатура]],[1]!Таблица24[Наименование],[1]!Таблица24[Кол-во],"Нет на складе",0)</f>
        <v>8</v>
      </c>
    </row>
    <row r="162" spans="1:29" ht="14.25" customHeight="1" x14ac:dyDescent="0.2">
      <c r="A162" s="10" t="s">
        <v>307</v>
      </c>
      <c r="B162" s="11">
        <v>4</v>
      </c>
      <c r="C162" s="12"/>
      <c r="D162" s="13" t="s">
        <v>311</v>
      </c>
      <c r="E162" s="12"/>
      <c r="F162" s="14">
        <v>4</v>
      </c>
      <c r="G162" s="12"/>
      <c r="H162" s="15" t="s">
        <v>35</v>
      </c>
      <c r="I162" s="12"/>
      <c r="J162" s="16">
        <v>372.76</v>
      </c>
      <c r="K162" s="16">
        <v>1491.04</v>
      </c>
      <c r="L162" s="17">
        <v>0.2</v>
      </c>
      <c r="M162" s="16">
        <v>248.51</v>
      </c>
      <c r="N162" s="16">
        <v>1491.04</v>
      </c>
      <c r="O16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1242.53</v>
      </c>
      <c r="P162" s="12" t="s">
        <v>36</v>
      </c>
      <c r="Q162" s="12" t="s">
        <v>80</v>
      </c>
      <c r="R162" s="13" t="s">
        <v>138</v>
      </c>
      <c r="S162" s="18" t="s">
        <v>46</v>
      </c>
      <c r="T162" s="12" t="s">
        <v>40</v>
      </c>
      <c r="U162" s="12" t="s">
        <v>41</v>
      </c>
      <c r="V162" s="19"/>
      <c r="W162" s="12"/>
      <c r="X162" s="20" t="s">
        <v>41</v>
      </c>
      <c r="Y162" s="25" t="str">
        <f>VLOOKUP(Таблица2[[#This Row],[Номер заказа]],[1]!Таблица1[#Data],MATCH("Поставщик",[1]!Таблица1[#Headers],0),FALSE)</f>
        <v>УТК-СТАЛЬ ООО (ИНН 4706043243)</v>
      </c>
      <c r="Z162" s="26" t="s">
        <v>141</v>
      </c>
      <c r="AA162" s="27">
        <f>VLOOKUP(Таблица2[[#This Row],[Номер заказа]],[1]!Таблица1[#Data],MATCH("Дата",[1]!Таблица1[#Headers],0),FALSE)+0</f>
        <v>45610</v>
      </c>
      <c r="AB162" s="28" t="str">
        <f>VLOOKUP(Таблица2[[#This Row],[Номер заказа]],[1]!Таблица1[#Data],MATCH("Валюта",[1]!Таблица1[#Headers],0),FALSE)</f>
        <v>руб.</v>
      </c>
      <c r="AC162" s="28">
        <f>_xlfn.XLOOKUP(Таблица2[[#This Row],[Номенклатура]],[1]!Таблица24[Наименование],[1]!Таблица24[Кол-во],"Нет на складе",0)</f>
        <v>4</v>
      </c>
    </row>
    <row r="163" spans="1:29" ht="14.25" customHeight="1" x14ac:dyDescent="0.2">
      <c r="A163" s="10" t="s">
        <v>307</v>
      </c>
      <c r="B163" s="11">
        <v>5</v>
      </c>
      <c r="C163" s="12"/>
      <c r="D163" s="13" t="s">
        <v>312</v>
      </c>
      <c r="E163" s="12"/>
      <c r="F163" s="14">
        <v>8</v>
      </c>
      <c r="G163" s="12"/>
      <c r="H163" s="15" t="s">
        <v>35</v>
      </c>
      <c r="I163" s="12"/>
      <c r="J163" s="16">
        <v>2739.99</v>
      </c>
      <c r="K163" s="16">
        <v>21919.919999999998</v>
      </c>
      <c r="L163" s="17">
        <v>0.2</v>
      </c>
      <c r="M163" s="16">
        <v>3653.32</v>
      </c>
      <c r="N163" s="16">
        <v>21919.919999999998</v>
      </c>
      <c r="O16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18266.599999999999</v>
      </c>
      <c r="P163" s="12" t="s">
        <v>36</v>
      </c>
      <c r="Q163" s="12" t="s">
        <v>80</v>
      </c>
      <c r="R163" s="13" t="s">
        <v>138</v>
      </c>
      <c r="S163" s="18" t="s">
        <v>46</v>
      </c>
      <c r="T163" s="12" t="s">
        <v>40</v>
      </c>
      <c r="U163" s="12" t="s">
        <v>41</v>
      </c>
      <c r="V163" s="19"/>
      <c r="W163" s="12"/>
      <c r="X163" s="20" t="s">
        <v>41</v>
      </c>
      <c r="Y163" s="25" t="str">
        <f>VLOOKUP(Таблица2[[#This Row],[Номер заказа]],[1]!Таблица1[#Data],MATCH("Поставщик",[1]!Таблица1[#Headers],0),FALSE)</f>
        <v>УТК-СТАЛЬ ООО (ИНН 4706043243)</v>
      </c>
      <c r="Z163" s="26" t="s">
        <v>141</v>
      </c>
      <c r="AA163" s="27">
        <f>VLOOKUP(Таблица2[[#This Row],[Номер заказа]],[1]!Таблица1[#Data],MATCH("Дата",[1]!Таблица1[#Headers],0),FALSE)+0</f>
        <v>45610</v>
      </c>
      <c r="AB163" s="28" t="str">
        <f>VLOOKUP(Таблица2[[#This Row],[Номер заказа]],[1]!Таблица1[#Data],MATCH("Валюта",[1]!Таблица1[#Headers],0),FALSE)</f>
        <v>руб.</v>
      </c>
      <c r="AC163" s="28">
        <f>_xlfn.XLOOKUP(Таблица2[[#This Row],[Номенклатура]],[1]!Таблица24[Наименование],[1]!Таблица24[Кол-во],"Нет на складе",0)</f>
        <v>8</v>
      </c>
    </row>
    <row r="164" spans="1:29" ht="14.25" customHeight="1" x14ac:dyDescent="0.2">
      <c r="A164" s="10" t="s">
        <v>307</v>
      </c>
      <c r="B164" s="11">
        <v>6</v>
      </c>
      <c r="C164" s="12"/>
      <c r="D164" s="13" t="s">
        <v>313</v>
      </c>
      <c r="E164" s="12"/>
      <c r="F164" s="14">
        <v>2</v>
      </c>
      <c r="G164" s="12"/>
      <c r="H164" s="15" t="s">
        <v>35</v>
      </c>
      <c r="I164" s="12"/>
      <c r="J164" s="16">
        <v>880.01</v>
      </c>
      <c r="K164" s="16">
        <v>1760.02</v>
      </c>
      <c r="L164" s="17">
        <v>0.2</v>
      </c>
      <c r="M164" s="16">
        <v>293.33999999999997</v>
      </c>
      <c r="N164" s="16">
        <v>1760.02</v>
      </c>
      <c r="O16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1466.68</v>
      </c>
      <c r="P164" s="12" t="s">
        <v>36</v>
      </c>
      <c r="Q164" s="12" t="s">
        <v>80</v>
      </c>
      <c r="R164" s="13" t="s">
        <v>138</v>
      </c>
      <c r="S164" s="18" t="s">
        <v>46</v>
      </c>
      <c r="T164" s="12" t="s">
        <v>40</v>
      </c>
      <c r="U164" s="12" t="s">
        <v>41</v>
      </c>
      <c r="V164" s="19"/>
      <c r="W164" s="12"/>
      <c r="X164" s="20" t="s">
        <v>41</v>
      </c>
      <c r="Y164" s="25" t="str">
        <f>VLOOKUP(Таблица2[[#This Row],[Номер заказа]],[1]!Таблица1[#Data],MATCH("Поставщик",[1]!Таблица1[#Headers],0),FALSE)</f>
        <v>УТК-СТАЛЬ ООО (ИНН 4706043243)</v>
      </c>
      <c r="Z164" s="26" t="s">
        <v>141</v>
      </c>
      <c r="AA164" s="27">
        <f>VLOOKUP(Таблица2[[#This Row],[Номер заказа]],[1]!Таблица1[#Data],MATCH("Дата",[1]!Таблица1[#Headers],0),FALSE)+0</f>
        <v>45610</v>
      </c>
      <c r="AB164" s="28" t="str">
        <f>VLOOKUP(Таблица2[[#This Row],[Номер заказа]],[1]!Таблица1[#Data],MATCH("Валюта",[1]!Таблица1[#Headers],0),FALSE)</f>
        <v>руб.</v>
      </c>
      <c r="AC164" s="28">
        <f>_xlfn.XLOOKUP(Таблица2[[#This Row],[Номенклатура]],[1]!Таблица24[Наименование],[1]!Таблица24[Кол-во],"Нет на складе",0)</f>
        <v>2</v>
      </c>
    </row>
    <row r="165" spans="1:29" ht="14.25" customHeight="1" x14ac:dyDescent="0.2">
      <c r="A165" s="10" t="s">
        <v>307</v>
      </c>
      <c r="B165" s="11">
        <v>7</v>
      </c>
      <c r="C165" s="12"/>
      <c r="D165" s="13" t="s">
        <v>312</v>
      </c>
      <c r="E165" s="12"/>
      <c r="F165" s="14">
        <v>4</v>
      </c>
      <c r="G165" s="12"/>
      <c r="H165" s="15" t="s">
        <v>35</v>
      </c>
      <c r="I165" s="12"/>
      <c r="J165" s="16">
        <v>2739.99</v>
      </c>
      <c r="K165" s="16">
        <v>10959.96</v>
      </c>
      <c r="L165" s="17">
        <v>0.2</v>
      </c>
      <c r="M165" s="16">
        <v>1826.66</v>
      </c>
      <c r="N165" s="16">
        <v>10959.96</v>
      </c>
      <c r="O16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9133.2999999999993</v>
      </c>
      <c r="P165" s="12" t="s">
        <v>36</v>
      </c>
      <c r="Q165" s="12" t="s">
        <v>80</v>
      </c>
      <c r="R165" s="13" t="s">
        <v>138</v>
      </c>
      <c r="S165" s="18" t="s">
        <v>46</v>
      </c>
      <c r="T165" s="12" t="s">
        <v>40</v>
      </c>
      <c r="U165" s="12" t="s">
        <v>41</v>
      </c>
      <c r="V165" s="19"/>
      <c r="W165" s="12" t="s">
        <v>86</v>
      </c>
      <c r="X165" s="20" t="s">
        <v>47</v>
      </c>
      <c r="Y165" s="25" t="str">
        <f>VLOOKUP(Таблица2[[#This Row],[Номер заказа]],[1]!Таблица1[#Data],MATCH("Поставщик",[1]!Таблица1[#Headers],0),FALSE)</f>
        <v>УТК-СТАЛЬ ООО (ИНН 4706043243)</v>
      </c>
      <c r="Z165" s="26" t="s">
        <v>141</v>
      </c>
      <c r="AA165" s="27">
        <f>VLOOKUP(Таблица2[[#This Row],[Номер заказа]],[1]!Таблица1[#Data],MATCH("Дата",[1]!Таблица1[#Headers],0),FALSE)+0</f>
        <v>45610</v>
      </c>
      <c r="AB165" s="28" t="str">
        <f>VLOOKUP(Таблица2[[#This Row],[Номер заказа]],[1]!Таблица1[#Data],MATCH("Валюта",[1]!Таблица1[#Headers],0),FALSE)</f>
        <v>руб.</v>
      </c>
      <c r="AC165" s="28">
        <f>_xlfn.XLOOKUP(Таблица2[[#This Row],[Номенклатура]],[1]!Таблица24[Наименование],[1]!Таблица24[Кол-во],"Нет на складе",0)</f>
        <v>8</v>
      </c>
    </row>
    <row r="166" spans="1:29" ht="14.25" customHeight="1" x14ac:dyDescent="0.2">
      <c r="A166" s="10" t="s">
        <v>314</v>
      </c>
      <c r="B166" s="11">
        <v>1</v>
      </c>
      <c r="C166" s="12"/>
      <c r="D166" s="13" t="s">
        <v>315</v>
      </c>
      <c r="E166" s="12"/>
      <c r="F166" s="14">
        <v>2</v>
      </c>
      <c r="G166" s="12"/>
      <c r="H166" s="15" t="s">
        <v>35</v>
      </c>
      <c r="I166" s="12"/>
      <c r="J166" s="16">
        <v>46178</v>
      </c>
      <c r="K166" s="16">
        <v>92356</v>
      </c>
      <c r="L166" s="17">
        <v>0.2</v>
      </c>
      <c r="M166" s="16">
        <v>15392.67</v>
      </c>
      <c r="N166" s="16">
        <v>92356</v>
      </c>
      <c r="O16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76963.33</v>
      </c>
      <c r="P166" s="12" t="s">
        <v>36</v>
      </c>
      <c r="Q166" s="12" t="s">
        <v>80</v>
      </c>
      <c r="R166" s="13" t="s">
        <v>144</v>
      </c>
      <c r="S166" s="18" t="s">
        <v>46</v>
      </c>
      <c r="T166" s="12" t="s">
        <v>40</v>
      </c>
      <c r="U166" s="12" t="s">
        <v>47</v>
      </c>
      <c r="V166" s="19"/>
      <c r="W166" s="12"/>
      <c r="X166" s="20" t="s">
        <v>41</v>
      </c>
      <c r="Y166" s="25" t="str">
        <f>VLOOKUP(Таблица2[[#This Row],[Номер заказа]],[1]!Таблица1[#Data],MATCH("Поставщик",[1]!Таблица1[#Headers],0),FALSE)</f>
        <v>АР ГИДРАВЛИКА ООО</v>
      </c>
      <c r="Z166" s="26" t="s">
        <v>65</v>
      </c>
      <c r="AA166" s="27">
        <f>VLOOKUP(Таблица2[[#This Row],[Номер заказа]],[1]!Таблица1[#Data],MATCH("Дата",[1]!Таблица1[#Headers],0),FALSE)+0</f>
        <v>45614</v>
      </c>
      <c r="AB166" s="28" t="str">
        <f>VLOOKUP(Таблица2[[#This Row],[Номер заказа]],[1]!Таблица1[#Data],MATCH("Валюта",[1]!Таблица1[#Headers],0),FALSE)</f>
        <v>руб.</v>
      </c>
      <c r="AC166" s="28">
        <f>_xlfn.XLOOKUP(Таблица2[[#This Row],[Номенклатура]],[1]!Таблица24[Наименование],[1]!Таблица24[Кол-во],"Нет на складе",0)</f>
        <v>1</v>
      </c>
    </row>
    <row r="167" spans="1:29" ht="14.25" customHeight="1" x14ac:dyDescent="0.2">
      <c r="A167" s="10" t="s">
        <v>314</v>
      </c>
      <c r="B167" s="11">
        <v>2</v>
      </c>
      <c r="C167" s="12"/>
      <c r="D167" s="13" t="s">
        <v>316</v>
      </c>
      <c r="E167" s="12"/>
      <c r="F167" s="14">
        <v>2</v>
      </c>
      <c r="G167" s="12"/>
      <c r="H167" s="15" t="s">
        <v>35</v>
      </c>
      <c r="I167" s="12"/>
      <c r="J167" s="16">
        <v>13121</v>
      </c>
      <c r="K167" s="16">
        <v>26242</v>
      </c>
      <c r="L167" s="17">
        <v>0.2</v>
      </c>
      <c r="M167" s="16">
        <v>4373.67</v>
      </c>
      <c r="N167" s="16">
        <v>26242</v>
      </c>
      <c r="O16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21868.33</v>
      </c>
      <c r="P167" s="12" t="s">
        <v>36</v>
      </c>
      <c r="Q167" s="12" t="s">
        <v>80</v>
      </c>
      <c r="R167" s="13" t="s">
        <v>144</v>
      </c>
      <c r="S167" s="18" t="s">
        <v>46</v>
      </c>
      <c r="T167" s="12" t="s">
        <v>40</v>
      </c>
      <c r="U167" s="12" t="s">
        <v>47</v>
      </c>
      <c r="V167" s="19"/>
      <c r="W167" s="12"/>
      <c r="X167" s="20" t="s">
        <v>41</v>
      </c>
      <c r="Y167" s="25" t="str">
        <f>VLOOKUP(Таблица2[[#This Row],[Номер заказа]],[1]!Таблица1[#Data],MATCH("Поставщик",[1]!Таблица1[#Headers],0),FALSE)</f>
        <v>АР ГИДРАВЛИКА ООО</v>
      </c>
      <c r="Z167" s="26" t="s">
        <v>65</v>
      </c>
      <c r="AA167" s="27">
        <f>VLOOKUP(Таблица2[[#This Row],[Номер заказа]],[1]!Таблица1[#Data],MATCH("Дата",[1]!Таблица1[#Headers],0),FALSE)+0</f>
        <v>45614</v>
      </c>
      <c r="AB167" s="28" t="str">
        <f>VLOOKUP(Таблица2[[#This Row],[Номер заказа]],[1]!Таблица1[#Data],MATCH("Валюта",[1]!Таблица1[#Headers],0),FALSE)</f>
        <v>руб.</v>
      </c>
      <c r="AC167" s="28">
        <f>_xlfn.XLOOKUP(Таблица2[[#This Row],[Номенклатура]],[1]!Таблица24[Наименование],[1]!Таблица24[Кол-во],"Нет на складе",0)</f>
        <v>2</v>
      </c>
    </row>
    <row r="168" spans="1:29" ht="14.25" customHeight="1" x14ac:dyDescent="0.2">
      <c r="A168" s="10" t="s">
        <v>314</v>
      </c>
      <c r="B168" s="11">
        <v>3</v>
      </c>
      <c r="C168" s="12"/>
      <c r="D168" s="13" t="s">
        <v>317</v>
      </c>
      <c r="E168" s="12"/>
      <c r="F168" s="14">
        <v>2</v>
      </c>
      <c r="G168" s="12"/>
      <c r="H168" s="15" t="s">
        <v>35</v>
      </c>
      <c r="I168" s="12"/>
      <c r="J168" s="16">
        <v>8671</v>
      </c>
      <c r="K168" s="16">
        <v>17342</v>
      </c>
      <c r="L168" s="17">
        <v>0.2</v>
      </c>
      <c r="M168" s="16">
        <v>2890.33</v>
      </c>
      <c r="N168" s="16">
        <v>17342</v>
      </c>
      <c r="O16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14451.67</v>
      </c>
      <c r="P168" s="12" t="s">
        <v>36</v>
      </c>
      <c r="Q168" s="12" t="s">
        <v>80</v>
      </c>
      <c r="R168" s="13" t="s">
        <v>144</v>
      </c>
      <c r="S168" s="18" t="s">
        <v>46</v>
      </c>
      <c r="T168" s="12" t="s">
        <v>40</v>
      </c>
      <c r="U168" s="12" t="s">
        <v>47</v>
      </c>
      <c r="V168" s="19"/>
      <c r="W168" s="12"/>
      <c r="X168" s="20" t="s">
        <v>41</v>
      </c>
      <c r="Y168" s="25" t="str">
        <f>VLOOKUP(Таблица2[[#This Row],[Номер заказа]],[1]!Таблица1[#Data],MATCH("Поставщик",[1]!Таблица1[#Headers],0),FALSE)</f>
        <v>АР ГИДРАВЛИКА ООО</v>
      </c>
      <c r="Z168" s="26" t="s">
        <v>65</v>
      </c>
      <c r="AA168" s="27">
        <f>VLOOKUP(Таблица2[[#This Row],[Номер заказа]],[1]!Таблица1[#Data],MATCH("Дата",[1]!Таблица1[#Headers],0),FALSE)+0</f>
        <v>45614</v>
      </c>
      <c r="AB168" s="28" t="str">
        <f>VLOOKUP(Таблица2[[#This Row],[Номер заказа]],[1]!Таблица1[#Data],MATCH("Валюта",[1]!Таблица1[#Headers],0),FALSE)</f>
        <v>руб.</v>
      </c>
      <c r="AC168" s="28">
        <f>_xlfn.XLOOKUP(Таблица2[[#This Row],[Номенклатура]],[1]!Таблица24[Наименование],[1]!Таблица24[Кол-во],"Нет на складе",0)</f>
        <v>2</v>
      </c>
    </row>
    <row r="169" spans="1:29" ht="14.25" customHeight="1" x14ac:dyDescent="0.2">
      <c r="A169" s="10" t="s">
        <v>314</v>
      </c>
      <c r="B169" s="11">
        <v>4</v>
      </c>
      <c r="C169" s="12"/>
      <c r="D169" s="13" t="s">
        <v>318</v>
      </c>
      <c r="E169" s="12"/>
      <c r="F169" s="14">
        <v>8</v>
      </c>
      <c r="G169" s="12"/>
      <c r="H169" s="15" t="s">
        <v>35</v>
      </c>
      <c r="I169" s="12"/>
      <c r="J169" s="16">
        <v>1619</v>
      </c>
      <c r="K169" s="16">
        <v>12952</v>
      </c>
      <c r="L169" s="17">
        <v>0.2</v>
      </c>
      <c r="M169" s="16">
        <v>2158.67</v>
      </c>
      <c r="N169" s="16">
        <v>12952</v>
      </c>
      <c r="O16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10793.33</v>
      </c>
      <c r="P169" s="12" t="s">
        <v>36</v>
      </c>
      <c r="Q169" s="12" t="s">
        <v>80</v>
      </c>
      <c r="R169" s="13" t="s">
        <v>144</v>
      </c>
      <c r="S169" s="18" t="s">
        <v>46</v>
      </c>
      <c r="T169" s="12" t="s">
        <v>40</v>
      </c>
      <c r="U169" s="12" t="s">
        <v>47</v>
      </c>
      <c r="V169" s="19"/>
      <c r="W169" s="12"/>
      <c r="X169" s="20" t="s">
        <v>41</v>
      </c>
      <c r="Y169" s="25" t="str">
        <f>VLOOKUP(Таблица2[[#This Row],[Номер заказа]],[1]!Таблица1[#Data],MATCH("Поставщик",[1]!Таблица1[#Headers],0),FALSE)</f>
        <v>АР ГИДРАВЛИКА ООО</v>
      </c>
      <c r="Z169" s="26" t="s">
        <v>65</v>
      </c>
      <c r="AA169" s="27">
        <f>VLOOKUP(Таблица2[[#This Row],[Номер заказа]],[1]!Таблица1[#Data],MATCH("Дата",[1]!Таблица1[#Headers],0),FALSE)+0</f>
        <v>45614</v>
      </c>
      <c r="AB169" s="28" t="str">
        <f>VLOOKUP(Таблица2[[#This Row],[Номер заказа]],[1]!Таблица1[#Data],MATCH("Валюта",[1]!Таблица1[#Headers],0),FALSE)</f>
        <v>руб.</v>
      </c>
      <c r="AC169" s="28">
        <f>_xlfn.XLOOKUP(Таблица2[[#This Row],[Номенклатура]],[1]!Таблица24[Наименование],[1]!Таблица24[Кол-во],"Нет на складе",0)</f>
        <v>10</v>
      </c>
    </row>
    <row r="170" spans="1:29" ht="14.25" customHeight="1" x14ac:dyDescent="0.2">
      <c r="A170" s="10" t="s">
        <v>314</v>
      </c>
      <c r="B170" s="11">
        <v>5</v>
      </c>
      <c r="C170" s="12"/>
      <c r="D170" s="13" t="s">
        <v>319</v>
      </c>
      <c r="E170" s="12"/>
      <c r="F170" s="14">
        <v>2</v>
      </c>
      <c r="G170" s="12"/>
      <c r="H170" s="15" t="s">
        <v>35</v>
      </c>
      <c r="I170" s="12"/>
      <c r="J170" s="16">
        <v>2478</v>
      </c>
      <c r="K170" s="16">
        <v>4956</v>
      </c>
      <c r="L170" s="17">
        <v>0.2</v>
      </c>
      <c r="M170" s="16">
        <v>826</v>
      </c>
      <c r="N170" s="16">
        <v>4956</v>
      </c>
      <c r="O17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4130</v>
      </c>
      <c r="P170" s="12" t="s">
        <v>36</v>
      </c>
      <c r="Q170" s="12" t="s">
        <v>80</v>
      </c>
      <c r="R170" s="13" t="s">
        <v>144</v>
      </c>
      <c r="S170" s="18" t="s">
        <v>46</v>
      </c>
      <c r="T170" s="12" t="s">
        <v>40</v>
      </c>
      <c r="U170" s="12" t="s">
        <v>47</v>
      </c>
      <c r="V170" s="19"/>
      <c r="W170" s="12"/>
      <c r="X170" s="20" t="s">
        <v>41</v>
      </c>
      <c r="Y170" s="25" t="str">
        <f>VLOOKUP(Таблица2[[#This Row],[Номер заказа]],[1]!Таблица1[#Data],MATCH("Поставщик",[1]!Таблица1[#Headers],0),FALSE)</f>
        <v>АР ГИДРАВЛИКА ООО</v>
      </c>
      <c r="Z170" s="26" t="s">
        <v>65</v>
      </c>
      <c r="AA170" s="27">
        <f>VLOOKUP(Таблица2[[#This Row],[Номер заказа]],[1]!Таблица1[#Data],MATCH("Дата",[1]!Таблица1[#Headers],0),FALSE)+0</f>
        <v>45614</v>
      </c>
      <c r="AB170" s="28" t="str">
        <f>VLOOKUP(Таблица2[[#This Row],[Номер заказа]],[1]!Таблица1[#Data],MATCH("Валюта",[1]!Таблица1[#Headers],0),FALSE)</f>
        <v>руб.</v>
      </c>
      <c r="AC170" s="28">
        <f>_xlfn.XLOOKUP(Таблица2[[#This Row],[Номенклатура]],[1]!Таблица24[Наименование],[1]!Таблица24[Кол-во],"Нет на складе",0)</f>
        <v>2</v>
      </c>
    </row>
    <row r="171" spans="1:29" ht="14.25" customHeight="1" x14ac:dyDescent="0.2">
      <c r="A171" s="10" t="s">
        <v>314</v>
      </c>
      <c r="B171" s="11">
        <v>6</v>
      </c>
      <c r="C171" s="12"/>
      <c r="D171" s="13" t="s">
        <v>320</v>
      </c>
      <c r="E171" s="12"/>
      <c r="F171" s="14">
        <v>2</v>
      </c>
      <c r="G171" s="12"/>
      <c r="H171" s="15" t="s">
        <v>35</v>
      </c>
      <c r="I171" s="12"/>
      <c r="J171" s="16">
        <v>813</v>
      </c>
      <c r="K171" s="16">
        <v>1626</v>
      </c>
      <c r="L171" s="17">
        <v>0.2</v>
      </c>
      <c r="M171" s="16">
        <v>271</v>
      </c>
      <c r="N171" s="16">
        <v>1626</v>
      </c>
      <c r="O17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1355</v>
      </c>
      <c r="P171" s="12" t="s">
        <v>36</v>
      </c>
      <c r="Q171" s="12" t="s">
        <v>80</v>
      </c>
      <c r="R171" s="13" t="s">
        <v>144</v>
      </c>
      <c r="S171" s="18" t="s">
        <v>46</v>
      </c>
      <c r="T171" s="12" t="s">
        <v>40</v>
      </c>
      <c r="U171" s="12" t="s">
        <v>47</v>
      </c>
      <c r="V171" s="19"/>
      <c r="W171" s="12"/>
      <c r="X171" s="20" t="s">
        <v>41</v>
      </c>
      <c r="Y171" s="25" t="str">
        <f>VLOOKUP(Таблица2[[#This Row],[Номер заказа]],[1]!Таблица1[#Data],MATCH("Поставщик",[1]!Таблица1[#Headers],0),FALSE)</f>
        <v>АР ГИДРАВЛИКА ООО</v>
      </c>
      <c r="Z171" s="26" t="s">
        <v>65</v>
      </c>
      <c r="AA171" s="27">
        <f>VLOOKUP(Таблица2[[#This Row],[Номер заказа]],[1]!Таблица1[#Data],MATCH("Дата",[1]!Таблица1[#Headers],0),FALSE)+0</f>
        <v>45614</v>
      </c>
      <c r="AB171" s="28" t="str">
        <f>VLOOKUP(Таблица2[[#This Row],[Номер заказа]],[1]!Таблица1[#Data],MATCH("Валюта",[1]!Таблица1[#Headers],0),FALSE)</f>
        <v>руб.</v>
      </c>
      <c r="AC171" s="28">
        <f>_xlfn.XLOOKUP(Таблица2[[#This Row],[Номенклатура]],[1]!Таблица24[Наименование],[1]!Таблица24[Кол-во],"Нет на складе",0)</f>
        <v>2</v>
      </c>
    </row>
    <row r="172" spans="1:29" ht="14.25" customHeight="1" x14ac:dyDescent="0.2">
      <c r="A172" s="10" t="s">
        <v>314</v>
      </c>
      <c r="B172" s="11">
        <v>7</v>
      </c>
      <c r="C172" s="12"/>
      <c r="D172" s="13" t="s">
        <v>321</v>
      </c>
      <c r="E172" s="12"/>
      <c r="F172" s="14">
        <v>2</v>
      </c>
      <c r="G172" s="12"/>
      <c r="H172" s="15" t="s">
        <v>35</v>
      </c>
      <c r="I172" s="12"/>
      <c r="J172" s="16">
        <v>1928</v>
      </c>
      <c r="K172" s="16">
        <v>3856</v>
      </c>
      <c r="L172" s="17">
        <v>0.2</v>
      </c>
      <c r="M172" s="16">
        <v>642.66999999999996</v>
      </c>
      <c r="N172" s="16">
        <v>3856</v>
      </c>
      <c r="O172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3213.33</v>
      </c>
      <c r="P172" s="12" t="s">
        <v>36</v>
      </c>
      <c r="Q172" s="12" t="s">
        <v>80</v>
      </c>
      <c r="R172" s="13" t="s">
        <v>144</v>
      </c>
      <c r="S172" s="18" t="s">
        <v>46</v>
      </c>
      <c r="T172" s="12" t="s">
        <v>40</v>
      </c>
      <c r="U172" s="12" t="s">
        <v>47</v>
      </c>
      <c r="V172" s="19"/>
      <c r="W172" s="12"/>
      <c r="X172" s="20" t="s">
        <v>41</v>
      </c>
      <c r="Y172" s="25" t="str">
        <f>VLOOKUP(Таблица2[[#This Row],[Номер заказа]],[1]!Таблица1[#Data],MATCH("Поставщик",[1]!Таблица1[#Headers],0),FALSE)</f>
        <v>АР ГИДРАВЛИКА ООО</v>
      </c>
      <c r="Z172" s="26" t="s">
        <v>65</v>
      </c>
      <c r="AA172" s="27">
        <f>VLOOKUP(Таблица2[[#This Row],[Номер заказа]],[1]!Таблица1[#Data],MATCH("Дата",[1]!Таблица1[#Headers],0),FALSE)+0</f>
        <v>45614</v>
      </c>
      <c r="AB172" s="28" t="str">
        <f>VLOOKUP(Таблица2[[#This Row],[Номер заказа]],[1]!Таблица1[#Data],MATCH("Валюта",[1]!Таблица1[#Headers],0),FALSE)</f>
        <v>руб.</v>
      </c>
      <c r="AC172" s="28">
        <f>_xlfn.XLOOKUP(Таблица2[[#This Row],[Номенклатура]],[1]!Таблица24[Наименование],[1]!Таблица24[Кол-во],"Нет на складе",0)</f>
        <v>2</v>
      </c>
    </row>
    <row r="173" spans="1:29" ht="14.25" customHeight="1" x14ac:dyDescent="0.2">
      <c r="A173" s="10" t="s">
        <v>314</v>
      </c>
      <c r="B173" s="11">
        <v>8</v>
      </c>
      <c r="C173" s="12"/>
      <c r="D173" s="13" t="s">
        <v>318</v>
      </c>
      <c r="E173" s="12"/>
      <c r="F173" s="14">
        <v>2</v>
      </c>
      <c r="G173" s="12"/>
      <c r="H173" s="15" t="s">
        <v>35</v>
      </c>
      <c r="I173" s="12"/>
      <c r="J173" s="16">
        <v>1619</v>
      </c>
      <c r="K173" s="16">
        <v>3238</v>
      </c>
      <c r="L173" s="17">
        <v>0.2</v>
      </c>
      <c r="M173" s="16">
        <v>539.66999999999996</v>
      </c>
      <c r="N173" s="16">
        <v>3238</v>
      </c>
      <c r="O173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2698.33</v>
      </c>
      <c r="P173" s="12" t="s">
        <v>36</v>
      </c>
      <c r="Q173" s="12" t="s">
        <v>80</v>
      </c>
      <c r="R173" s="13" t="s">
        <v>144</v>
      </c>
      <c r="S173" s="18" t="s">
        <v>46</v>
      </c>
      <c r="T173" s="12" t="s">
        <v>40</v>
      </c>
      <c r="U173" s="12" t="s">
        <v>47</v>
      </c>
      <c r="V173" s="19"/>
      <c r="W173" s="12"/>
      <c r="X173" s="20" t="s">
        <v>41</v>
      </c>
      <c r="Y173" s="25" t="str">
        <f>VLOOKUP(Таблица2[[#This Row],[Номер заказа]],[1]!Таблица1[#Data],MATCH("Поставщик",[1]!Таблица1[#Headers],0),FALSE)</f>
        <v>АР ГИДРАВЛИКА ООО</v>
      </c>
      <c r="Z173" s="26" t="s">
        <v>65</v>
      </c>
      <c r="AA173" s="27">
        <f>VLOOKUP(Таблица2[[#This Row],[Номер заказа]],[1]!Таблица1[#Data],MATCH("Дата",[1]!Таблица1[#Headers],0),FALSE)+0</f>
        <v>45614</v>
      </c>
      <c r="AB173" s="28" t="str">
        <f>VLOOKUP(Таблица2[[#This Row],[Номер заказа]],[1]!Таблица1[#Data],MATCH("Валюта",[1]!Таблица1[#Headers],0),FALSE)</f>
        <v>руб.</v>
      </c>
      <c r="AC173" s="28">
        <f>_xlfn.XLOOKUP(Таблица2[[#This Row],[Номенклатура]],[1]!Таблица24[Наименование],[1]!Таблица24[Кол-во],"Нет на складе",0)</f>
        <v>10</v>
      </c>
    </row>
    <row r="174" spans="1:29" ht="14.25" customHeight="1" x14ac:dyDescent="0.2">
      <c r="A174" s="10" t="s">
        <v>322</v>
      </c>
      <c r="B174" s="11">
        <v>1</v>
      </c>
      <c r="C174" s="12"/>
      <c r="D174" s="13" t="s">
        <v>323</v>
      </c>
      <c r="E174" s="12"/>
      <c r="F174" s="14">
        <v>4</v>
      </c>
      <c r="G174" s="12"/>
      <c r="H174" s="15" t="s">
        <v>35</v>
      </c>
      <c r="I174" s="12"/>
      <c r="J174" s="16">
        <v>7187</v>
      </c>
      <c r="K174" s="16">
        <v>28748</v>
      </c>
      <c r="L174" s="17">
        <v>0.2</v>
      </c>
      <c r="M174" s="16">
        <v>4791.33</v>
      </c>
      <c r="N174" s="16">
        <v>28748</v>
      </c>
      <c r="O174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23956.67</v>
      </c>
      <c r="P174" s="12" t="s">
        <v>36</v>
      </c>
      <c r="Q174" s="12" t="s">
        <v>80</v>
      </c>
      <c r="R174" s="13" t="s">
        <v>144</v>
      </c>
      <c r="S174" s="18" t="s">
        <v>46</v>
      </c>
      <c r="T174" s="12" t="s">
        <v>40</v>
      </c>
      <c r="U174" s="12" t="s">
        <v>41</v>
      </c>
      <c r="V174" s="19" t="s">
        <v>324</v>
      </c>
      <c r="W174" s="26"/>
      <c r="X174" s="29" t="s">
        <v>41</v>
      </c>
      <c r="Y174" s="25" t="str">
        <f>VLOOKUP(Таблица2[[#This Row],[Номер заказа]],[1]!Таблица1[#Data],MATCH("Поставщик",[1]!Таблица1[#Headers],0),FALSE)</f>
        <v>АР ГИДРАВЛИКА ООО</v>
      </c>
      <c r="Z174" s="26" t="s">
        <v>65</v>
      </c>
      <c r="AA174" s="27">
        <f>VLOOKUP(Таблица2[[#This Row],[Номер заказа]],[1]!Таблица1[#Data],MATCH("Дата",[1]!Таблица1[#Headers],0),FALSE)+0</f>
        <v>45617</v>
      </c>
      <c r="AB174" s="28" t="str">
        <f>VLOOKUP(Таблица2[[#This Row],[Номер заказа]],[1]!Таблица1[#Data],MATCH("Валюта",[1]!Таблица1[#Headers],0),FALSE)</f>
        <v>руб.</v>
      </c>
      <c r="AC174" s="28">
        <f>_xlfn.XLOOKUP(Таблица2[[#This Row],[Номенклатура]],[1]!Таблица24[Наименование],[1]!Таблица24[Кол-во],"Нет на складе",0)</f>
        <v>4</v>
      </c>
    </row>
    <row r="175" spans="1:29" ht="14.25" customHeight="1" x14ac:dyDescent="0.2">
      <c r="A175" s="10" t="s">
        <v>322</v>
      </c>
      <c r="B175" s="11">
        <v>2</v>
      </c>
      <c r="C175" s="12"/>
      <c r="D175" s="13" t="s">
        <v>325</v>
      </c>
      <c r="E175" s="12"/>
      <c r="F175" s="14">
        <v>6</v>
      </c>
      <c r="G175" s="12"/>
      <c r="H175" s="15" t="s">
        <v>35</v>
      </c>
      <c r="I175" s="12"/>
      <c r="J175" s="16">
        <v>2340</v>
      </c>
      <c r="K175" s="16">
        <v>14040</v>
      </c>
      <c r="L175" s="17">
        <v>0.2</v>
      </c>
      <c r="M175" s="16">
        <v>2340</v>
      </c>
      <c r="N175" s="16">
        <v>14040</v>
      </c>
      <c r="O175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11700</v>
      </c>
      <c r="P175" s="12" t="s">
        <v>36</v>
      </c>
      <c r="Q175" s="12" t="s">
        <v>80</v>
      </c>
      <c r="R175" s="13" t="s">
        <v>144</v>
      </c>
      <c r="S175" s="18" t="s">
        <v>46</v>
      </c>
      <c r="T175" s="12" t="s">
        <v>40</v>
      </c>
      <c r="U175" s="12" t="s">
        <v>41</v>
      </c>
      <c r="V175" s="19" t="s">
        <v>324</v>
      </c>
      <c r="W175" s="26"/>
      <c r="X175" s="29" t="s">
        <v>41</v>
      </c>
      <c r="Y175" s="25" t="str">
        <f>VLOOKUP(Таблица2[[#This Row],[Номер заказа]],[1]!Таблица1[#Data],MATCH("Поставщик",[1]!Таблица1[#Headers],0),FALSE)</f>
        <v>АР ГИДРАВЛИКА ООО</v>
      </c>
      <c r="Z175" s="26" t="s">
        <v>65</v>
      </c>
      <c r="AA175" s="27">
        <f>VLOOKUP(Таблица2[[#This Row],[Номер заказа]],[1]!Таблица1[#Data],MATCH("Дата",[1]!Таблица1[#Headers],0),FALSE)+0</f>
        <v>45617</v>
      </c>
      <c r="AB175" s="28" t="str">
        <f>VLOOKUP(Таблица2[[#This Row],[Номер заказа]],[1]!Таблица1[#Data],MATCH("Валюта",[1]!Таблица1[#Headers],0),FALSE)</f>
        <v>руб.</v>
      </c>
      <c r="AC175" s="28">
        <f>_xlfn.XLOOKUP(Таблица2[[#This Row],[Номенклатура]],[1]!Таблица24[Наименование],[1]!Таблица24[Кол-во],"Нет на складе",0)</f>
        <v>6</v>
      </c>
    </row>
    <row r="176" spans="1:29" ht="14.25" customHeight="1" x14ac:dyDescent="0.2">
      <c r="A176" s="10" t="s">
        <v>322</v>
      </c>
      <c r="B176" s="11">
        <v>3</v>
      </c>
      <c r="C176" s="12"/>
      <c r="D176" s="13" t="s">
        <v>326</v>
      </c>
      <c r="E176" s="12"/>
      <c r="F176" s="14">
        <v>4</v>
      </c>
      <c r="G176" s="12"/>
      <c r="H176" s="15" t="s">
        <v>35</v>
      </c>
      <c r="I176" s="12"/>
      <c r="J176" s="16">
        <v>20927</v>
      </c>
      <c r="K176" s="16">
        <v>83708</v>
      </c>
      <c r="L176" s="17">
        <v>0.2</v>
      </c>
      <c r="M176" s="16">
        <v>13951.33</v>
      </c>
      <c r="N176" s="16">
        <v>83708</v>
      </c>
      <c r="O176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69756.67</v>
      </c>
      <c r="P176" s="12" t="s">
        <v>36</v>
      </c>
      <c r="Q176" s="12" t="s">
        <v>80</v>
      </c>
      <c r="R176" s="13" t="s">
        <v>144</v>
      </c>
      <c r="S176" s="18" t="s">
        <v>46</v>
      </c>
      <c r="T176" s="12" t="s">
        <v>40</v>
      </c>
      <c r="U176" s="12" t="s">
        <v>41</v>
      </c>
      <c r="V176" s="19" t="s">
        <v>324</v>
      </c>
      <c r="W176" s="26"/>
      <c r="X176" s="29" t="s">
        <v>41</v>
      </c>
      <c r="Y176" s="25" t="str">
        <f>VLOOKUP(Таблица2[[#This Row],[Номер заказа]],[1]!Таблица1[#Data],MATCH("Поставщик",[1]!Таблица1[#Headers],0),FALSE)</f>
        <v>АР ГИДРАВЛИКА ООО</v>
      </c>
      <c r="Z176" s="26" t="s">
        <v>65</v>
      </c>
      <c r="AA176" s="27">
        <f>VLOOKUP(Таблица2[[#This Row],[Номер заказа]],[1]!Таблица1[#Data],MATCH("Дата",[1]!Таблица1[#Headers],0),FALSE)+0</f>
        <v>45617</v>
      </c>
      <c r="AB176" s="28" t="str">
        <f>VLOOKUP(Таблица2[[#This Row],[Номер заказа]],[1]!Таблица1[#Data],MATCH("Валюта",[1]!Таблица1[#Headers],0),FALSE)</f>
        <v>руб.</v>
      </c>
      <c r="AC176" s="28">
        <f>_xlfn.XLOOKUP(Таблица2[[#This Row],[Номенклатура]],[1]!Таблица24[Наименование],[1]!Таблица24[Кол-во],"Нет на складе",0)</f>
        <v>4</v>
      </c>
    </row>
    <row r="177" spans="1:29" ht="14.25" customHeight="1" x14ac:dyDescent="0.2">
      <c r="A177" s="10" t="s">
        <v>322</v>
      </c>
      <c r="B177" s="11">
        <v>4</v>
      </c>
      <c r="C177" s="12"/>
      <c r="D177" s="13" t="s">
        <v>327</v>
      </c>
      <c r="E177" s="12"/>
      <c r="F177" s="14">
        <v>2</v>
      </c>
      <c r="G177" s="12"/>
      <c r="H177" s="15" t="s">
        <v>35</v>
      </c>
      <c r="I177" s="12"/>
      <c r="J177" s="16">
        <v>15650</v>
      </c>
      <c r="K177" s="16">
        <v>31300</v>
      </c>
      <c r="L177" s="17">
        <v>0.2</v>
      </c>
      <c r="M177" s="16">
        <v>5216.67</v>
      </c>
      <c r="N177" s="16">
        <v>31300</v>
      </c>
      <c r="O177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26083.33</v>
      </c>
      <c r="P177" s="12" t="s">
        <v>36</v>
      </c>
      <c r="Q177" s="12" t="s">
        <v>80</v>
      </c>
      <c r="R177" s="13" t="s">
        <v>144</v>
      </c>
      <c r="S177" s="18" t="s">
        <v>46</v>
      </c>
      <c r="T177" s="12" t="s">
        <v>40</v>
      </c>
      <c r="U177" s="12" t="s">
        <v>41</v>
      </c>
      <c r="V177" s="19" t="s">
        <v>324</v>
      </c>
      <c r="W177" s="26"/>
      <c r="X177" s="29" t="s">
        <v>41</v>
      </c>
      <c r="Y177" s="25" t="str">
        <f>VLOOKUP(Таблица2[[#This Row],[Номер заказа]],[1]!Таблица1[#Data],MATCH("Поставщик",[1]!Таблица1[#Headers],0),FALSE)</f>
        <v>АР ГИДРАВЛИКА ООО</v>
      </c>
      <c r="Z177" s="26" t="s">
        <v>65</v>
      </c>
      <c r="AA177" s="27">
        <f>VLOOKUP(Таблица2[[#This Row],[Номер заказа]],[1]!Таблица1[#Data],MATCH("Дата",[1]!Таблица1[#Headers],0),FALSE)+0</f>
        <v>45617</v>
      </c>
      <c r="AB177" s="28" t="str">
        <f>VLOOKUP(Таблица2[[#This Row],[Номер заказа]],[1]!Таблица1[#Data],MATCH("Валюта",[1]!Таблица1[#Headers],0),FALSE)</f>
        <v>руб.</v>
      </c>
      <c r="AC177" s="28">
        <f>_xlfn.XLOOKUP(Таблица2[[#This Row],[Номенклатура]],[1]!Таблица24[Наименование],[1]!Таблица24[Кол-во],"Нет на складе",0)</f>
        <v>2</v>
      </c>
    </row>
    <row r="178" spans="1:29" ht="14.25" customHeight="1" x14ac:dyDescent="0.2">
      <c r="A178" s="10" t="s">
        <v>322</v>
      </c>
      <c r="B178" s="11">
        <v>5</v>
      </c>
      <c r="C178" s="12"/>
      <c r="D178" s="13" t="s">
        <v>328</v>
      </c>
      <c r="E178" s="12"/>
      <c r="F178" s="14">
        <v>2</v>
      </c>
      <c r="G178" s="12"/>
      <c r="H178" s="15" t="s">
        <v>35</v>
      </c>
      <c r="I178" s="12"/>
      <c r="J178" s="16">
        <v>6752</v>
      </c>
      <c r="K178" s="16">
        <v>13504</v>
      </c>
      <c r="L178" s="17">
        <v>0.2</v>
      </c>
      <c r="M178" s="16">
        <v>2250.67</v>
      </c>
      <c r="N178" s="16">
        <v>13504</v>
      </c>
      <c r="O178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11253.33</v>
      </c>
      <c r="P178" s="12" t="s">
        <v>36</v>
      </c>
      <c r="Q178" s="12" t="s">
        <v>80</v>
      </c>
      <c r="R178" s="13" t="s">
        <v>144</v>
      </c>
      <c r="S178" s="18" t="s">
        <v>46</v>
      </c>
      <c r="T178" s="12" t="s">
        <v>40</v>
      </c>
      <c r="U178" s="12" t="s">
        <v>41</v>
      </c>
      <c r="V178" s="19" t="s">
        <v>324</v>
      </c>
      <c r="W178" s="26"/>
      <c r="X178" s="29" t="s">
        <v>41</v>
      </c>
      <c r="Y178" s="25" t="str">
        <f>VLOOKUP(Таблица2[[#This Row],[Номер заказа]],[1]!Таблица1[#Data],MATCH("Поставщик",[1]!Таблица1[#Headers],0),FALSE)</f>
        <v>АР ГИДРАВЛИКА ООО</v>
      </c>
      <c r="Z178" s="26" t="s">
        <v>65</v>
      </c>
      <c r="AA178" s="27">
        <f>VLOOKUP(Таблица2[[#This Row],[Номер заказа]],[1]!Таблица1[#Data],MATCH("Дата",[1]!Таблица1[#Headers],0),FALSE)+0</f>
        <v>45617</v>
      </c>
      <c r="AB178" s="28" t="str">
        <f>VLOOKUP(Таблица2[[#This Row],[Номер заказа]],[1]!Таблица1[#Data],MATCH("Валюта",[1]!Таблица1[#Headers],0),FALSE)</f>
        <v>руб.</v>
      </c>
      <c r="AC178" s="28">
        <f>_xlfn.XLOOKUP(Таблица2[[#This Row],[Номенклатура]],[1]!Таблица24[Наименование],[1]!Таблица24[Кол-во],"Нет на складе",0)</f>
        <v>2</v>
      </c>
    </row>
    <row r="179" spans="1:29" ht="14.25" customHeight="1" x14ac:dyDescent="0.2">
      <c r="A179" s="10" t="s">
        <v>322</v>
      </c>
      <c r="B179" s="11">
        <v>6</v>
      </c>
      <c r="C179" s="12"/>
      <c r="D179" s="13" t="s">
        <v>329</v>
      </c>
      <c r="E179" s="12"/>
      <c r="F179" s="14">
        <v>2</v>
      </c>
      <c r="G179" s="12"/>
      <c r="H179" s="15" t="s">
        <v>35</v>
      </c>
      <c r="I179" s="12"/>
      <c r="J179" s="16">
        <v>1091</v>
      </c>
      <c r="K179" s="16">
        <v>2182</v>
      </c>
      <c r="L179" s="17">
        <v>0.2</v>
      </c>
      <c r="M179" s="16">
        <v>363.67</v>
      </c>
      <c r="N179" s="16">
        <v>2182</v>
      </c>
      <c r="O179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1818.33</v>
      </c>
      <c r="P179" s="12" t="s">
        <v>36</v>
      </c>
      <c r="Q179" s="12" t="s">
        <v>80</v>
      </c>
      <c r="R179" s="13" t="s">
        <v>144</v>
      </c>
      <c r="S179" s="18" t="s">
        <v>46</v>
      </c>
      <c r="T179" s="12" t="s">
        <v>40</v>
      </c>
      <c r="U179" s="12" t="s">
        <v>41</v>
      </c>
      <c r="V179" s="19" t="s">
        <v>324</v>
      </c>
      <c r="W179" s="26"/>
      <c r="X179" s="29" t="s">
        <v>41</v>
      </c>
      <c r="Y179" s="25" t="str">
        <f>VLOOKUP(Таблица2[[#This Row],[Номер заказа]],[1]!Таблица1[#Data],MATCH("Поставщик",[1]!Таблица1[#Headers],0),FALSE)</f>
        <v>АР ГИДРАВЛИКА ООО</v>
      </c>
      <c r="Z179" s="26" t="s">
        <v>65</v>
      </c>
      <c r="AA179" s="27">
        <f>VLOOKUP(Таблица2[[#This Row],[Номер заказа]],[1]!Таблица1[#Data],MATCH("Дата",[1]!Таблица1[#Headers],0),FALSE)+0</f>
        <v>45617</v>
      </c>
      <c r="AB179" s="28" t="str">
        <f>VLOOKUP(Таблица2[[#This Row],[Номер заказа]],[1]!Таблица1[#Data],MATCH("Валюта",[1]!Таблица1[#Headers],0),FALSE)</f>
        <v>руб.</v>
      </c>
      <c r="AC179" s="28">
        <f>_xlfn.XLOOKUP(Таблица2[[#This Row],[Номенклатура]],[1]!Таблица24[Наименование],[1]!Таблица24[Кол-во],"Нет на складе",0)</f>
        <v>2</v>
      </c>
    </row>
    <row r="180" spans="1:29" ht="14.25" customHeight="1" x14ac:dyDescent="0.2">
      <c r="A180" s="10" t="s">
        <v>322</v>
      </c>
      <c r="B180" s="11">
        <v>7</v>
      </c>
      <c r="C180" s="12"/>
      <c r="D180" s="13" t="s">
        <v>330</v>
      </c>
      <c r="E180" s="12"/>
      <c r="F180" s="14">
        <v>2</v>
      </c>
      <c r="G180" s="12"/>
      <c r="H180" s="15" t="s">
        <v>35</v>
      </c>
      <c r="I180" s="12"/>
      <c r="J180" s="16">
        <v>18720</v>
      </c>
      <c r="K180" s="16">
        <v>37440</v>
      </c>
      <c r="L180" s="17">
        <v>0.2</v>
      </c>
      <c r="M180" s="16">
        <v>6240</v>
      </c>
      <c r="N180" s="16">
        <v>37440</v>
      </c>
      <c r="O180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31200</v>
      </c>
      <c r="P180" s="12" t="s">
        <v>36</v>
      </c>
      <c r="Q180" s="12" t="s">
        <v>80</v>
      </c>
      <c r="R180" s="13" t="s">
        <v>144</v>
      </c>
      <c r="S180" s="18" t="s">
        <v>46</v>
      </c>
      <c r="T180" s="12" t="s">
        <v>40</v>
      </c>
      <c r="U180" s="12" t="s">
        <v>41</v>
      </c>
      <c r="V180" s="19" t="s">
        <v>324</v>
      </c>
      <c r="W180" s="26"/>
      <c r="X180" s="29" t="s">
        <v>41</v>
      </c>
      <c r="Y180" s="25" t="str">
        <f>VLOOKUP(Таблица2[[#This Row],[Номер заказа]],[1]!Таблица1[#Data],MATCH("Поставщик",[1]!Таблица1[#Headers],0),FALSE)</f>
        <v>АР ГИДРАВЛИКА ООО</v>
      </c>
      <c r="Z180" s="26" t="s">
        <v>65</v>
      </c>
      <c r="AA180" s="27">
        <f>VLOOKUP(Таблица2[[#This Row],[Номер заказа]],[1]!Таблица1[#Data],MATCH("Дата",[1]!Таблица1[#Headers],0),FALSE)+0</f>
        <v>45617</v>
      </c>
      <c r="AB180" s="28" t="str">
        <f>VLOOKUP(Таблица2[[#This Row],[Номер заказа]],[1]!Таблица1[#Data],MATCH("Валюта",[1]!Таблица1[#Headers],0),FALSE)</f>
        <v>руб.</v>
      </c>
      <c r="AC180" s="28">
        <f>_xlfn.XLOOKUP(Таблица2[[#This Row],[Номенклатура]],[1]!Таблица24[Наименование],[1]!Таблица24[Кол-во],"Нет на складе",0)</f>
        <v>2</v>
      </c>
    </row>
    <row r="181" spans="1:29" ht="14.25" customHeight="1" x14ac:dyDescent="0.2">
      <c r="A181" s="10" t="s">
        <v>322</v>
      </c>
      <c r="B181" s="11">
        <v>8</v>
      </c>
      <c r="C181" s="12"/>
      <c r="D181" s="13" t="s">
        <v>331</v>
      </c>
      <c r="E181" s="12"/>
      <c r="F181" s="14">
        <v>2</v>
      </c>
      <c r="G181" s="12"/>
      <c r="H181" s="15" t="s">
        <v>35</v>
      </c>
      <c r="I181" s="12"/>
      <c r="J181" s="16">
        <v>2420</v>
      </c>
      <c r="K181" s="16">
        <v>4840</v>
      </c>
      <c r="L181" s="17">
        <v>0.2</v>
      </c>
      <c r="M181" s="16">
        <v>806.67</v>
      </c>
      <c r="N181" s="16">
        <v>4840</v>
      </c>
      <c r="O181" s="16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4033.33</v>
      </c>
      <c r="P181" s="12" t="s">
        <v>36</v>
      </c>
      <c r="Q181" s="12" t="s">
        <v>80</v>
      </c>
      <c r="R181" s="13" t="s">
        <v>144</v>
      </c>
      <c r="S181" s="18" t="s">
        <v>46</v>
      </c>
      <c r="T181" s="12" t="s">
        <v>40</v>
      </c>
      <c r="U181" s="12" t="s">
        <v>41</v>
      </c>
      <c r="V181" s="19" t="s">
        <v>324</v>
      </c>
      <c r="W181" s="26"/>
      <c r="X181" s="29" t="s">
        <v>41</v>
      </c>
      <c r="Y181" s="30" t="str">
        <f>VLOOKUP(Таблица2[[#This Row],[Номер заказа]],[1]!Таблица1[#Data],MATCH("Поставщик",[1]!Таблица1[#Headers],0),FALSE)</f>
        <v>АР ГИДРАВЛИКА ООО</v>
      </c>
      <c r="Z181" s="26" t="s">
        <v>65</v>
      </c>
      <c r="AA181" s="31">
        <f>VLOOKUP(Таблица2[[#This Row],[Номер заказа]],[1]!Таблица1[#Data],MATCH("Дата",[1]!Таблица1[#Headers],0),FALSE)+0</f>
        <v>45617</v>
      </c>
      <c r="AB181" s="32" t="str">
        <f>VLOOKUP(Таблица2[[#This Row],[Номер заказа]],[1]!Таблица1[#Data],MATCH("Валюта",[1]!Таблица1[#Headers],0),FALSE)</f>
        <v>руб.</v>
      </c>
      <c r="AC181" s="32">
        <f>_xlfn.XLOOKUP(Таблица2[[#This Row],[Номенклатура]],[1]!Таблица24[Наименование],[1]!Таблица24[Кол-во],"Нет на складе",0)</f>
        <v>2</v>
      </c>
    </row>
    <row r="182" spans="1:29" ht="14.25" customHeight="1" x14ac:dyDescent="0.2">
      <c r="A182" s="33" t="s">
        <v>332</v>
      </c>
      <c r="B182" s="34">
        <v>1</v>
      </c>
      <c r="C182" s="35"/>
      <c r="D182" s="36" t="s">
        <v>333</v>
      </c>
      <c r="E182" s="37"/>
      <c r="F182" s="38">
        <v>1</v>
      </c>
      <c r="G182" s="39"/>
      <c r="H182" s="40"/>
      <c r="I182" s="39"/>
      <c r="J182" s="41">
        <v>45000</v>
      </c>
      <c r="K182" s="41">
        <v>45000</v>
      </c>
      <c r="L182" s="42" t="s">
        <v>334</v>
      </c>
      <c r="M182" s="41"/>
      <c r="N182" s="41">
        <v>45000</v>
      </c>
      <c r="O182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45000</v>
      </c>
      <c r="P182" s="39"/>
      <c r="Q182" s="35" t="s">
        <v>335</v>
      </c>
      <c r="R182" s="43" t="s">
        <v>336</v>
      </c>
      <c r="S182" s="43" t="s">
        <v>172</v>
      </c>
      <c r="T182" s="44" t="s">
        <v>337</v>
      </c>
      <c r="U182" s="37" t="s">
        <v>47</v>
      </c>
      <c r="V182" s="45"/>
      <c r="W182" s="39"/>
      <c r="X182" s="35" t="s">
        <v>41</v>
      </c>
      <c r="Y182" s="46" t="str">
        <f>VLOOKUP(Таблица2[[#This Row],[Номер заказа]],[1]!Таблица1[#Data],MATCH("Поставщик",[1]!Таблица1[#Headers],0),FALSE)</f>
        <v>ТЕСТ-ИНЖИНИРИНГ ООО</v>
      </c>
      <c r="Z182" s="39" t="s">
        <v>48</v>
      </c>
      <c r="AA182" s="47">
        <f>VLOOKUP(Таблица2[[#This Row],[Номер заказа]],[1]!Таблица1[#Data],MATCH("Дата",[1]!Таблица1[#Headers],0),FALSE)+0</f>
        <v>45869</v>
      </c>
      <c r="AB182" s="40" t="str">
        <f>VLOOKUP(Таблица2[[#This Row],[Номер заказа]],[1]!Таблица1[#Data],MATCH("Валюта",[1]!Таблица1[#Headers],0),FALSE)</f>
        <v>руб.</v>
      </c>
      <c r="AC182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3" spans="1:29" ht="14.25" customHeight="1" x14ac:dyDescent="0.2">
      <c r="A183" s="33" t="s">
        <v>338</v>
      </c>
      <c r="B183" s="34">
        <v>1</v>
      </c>
      <c r="C183" s="35"/>
      <c r="D183" s="36" t="s">
        <v>339</v>
      </c>
      <c r="E183" s="37"/>
      <c r="F183" s="38">
        <v>10</v>
      </c>
      <c r="G183" s="39"/>
      <c r="H183" s="40" t="s">
        <v>35</v>
      </c>
      <c r="I183" s="39"/>
      <c r="J183" s="41">
        <v>485.86</v>
      </c>
      <c r="K183" s="41">
        <v>4858.5600000000004</v>
      </c>
      <c r="L183" s="42">
        <v>0.2</v>
      </c>
      <c r="M183" s="41">
        <v>809.76</v>
      </c>
      <c r="N183" s="41">
        <v>4858.5600000000004</v>
      </c>
      <c r="O183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4048.8</v>
      </c>
      <c r="P183" s="39" t="s">
        <v>340</v>
      </c>
      <c r="Q183" s="35" t="s">
        <v>341</v>
      </c>
      <c r="R183" s="43" t="s">
        <v>342</v>
      </c>
      <c r="S183" s="43" t="s">
        <v>172</v>
      </c>
      <c r="T183" s="44" t="s">
        <v>343</v>
      </c>
      <c r="U183" s="37" t="s">
        <v>41</v>
      </c>
      <c r="V183" s="45"/>
      <c r="W183" s="39"/>
      <c r="X183" s="35" t="s">
        <v>41</v>
      </c>
      <c r="Y183" s="46" t="str">
        <f>VLOOKUP(Таблица2[[#This Row],[Номер заказа]],[1]!Таблица1[#Data],MATCH("Поставщик",[1]!Таблица1[#Headers],0),FALSE)</f>
        <v>НПП СЗП ООО</v>
      </c>
      <c r="Z183" s="39" t="s">
        <v>141</v>
      </c>
      <c r="AA183" s="47">
        <f>VLOOKUP(Таблица2[[#This Row],[Номер заказа]],[1]!Таблица1[#Data],MATCH("Дата",[1]!Таблица1[#Headers],0),FALSE)+0</f>
        <v>45728</v>
      </c>
      <c r="AB183" s="40" t="str">
        <f>VLOOKUP(Таблица2[[#This Row],[Номер заказа]],[1]!Таблица1[#Data],MATCH("Валюта",[1]!Таблица1[#Headers],0),FALSE)</f>
        <v>руб.</v>
      </c>
      <c r="AC183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4" spans="1:29" ht="14.25" customHeight="1" x14ac:dyDescent="0.2">
      <c r="A184" s="33" t="s">
        <v>344</v>
      </c>
      <c r="B184" s="34">
        <v>1</v>
      </c>
      <c r="C184" s="35"/>
      <c r="D184" s="36" t="s">
        <v>345</v>
      </c>
      <c r="E184" s="37"/>
      <c r="F184" s="38">
        <v>12</v>
      </c>
      <c r="G184" s="39"/>
      <c r="H184" s="40" t="s">
        <v>35</v>
      </c>
      <c r="I184" s="39"/>
      <c r="J184" s="41">
        <v>5.29</v>
      </c>
      <c r="K184" s="41">
        <v>63.48</v>
      </c>
      <c r="L184" s="42">
        <v>0.2</v>
      </c>
      <c r="M184" s="41">
        <v>10.58</v>
      </c>
      <c r="N184" s="41">
        <v>63.48</v>
      </c>
      <c r="O184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52.9</v>
      </c>
      <c r="P184" s="39" t="s">
        <v>340</v>
      </c>
      <c r="Q184" s="35" t="s">
        <v>341</v>
      </c>
      <c r="R184" s="43" t="s">
        <v>342</v>
      </c>
      <c r="S184" s="43" t="s">
        <v>172</v>
      </c>
      <c r="T184" s="44" t="s">
        <v>343</v>
      </c>
      <c r="U184" s="37" t="s">
        <v>41</v>
      </c>
      <c r="V184" s="48">
        <v>45734</v>
      </c>
      <c r="W184" s="39"/>
      <c r="X184" s="35" t="s">
        <v>41</v>
      </c>
      <c r="Y184" s="46" t="str">
        <f>VLOOKUP(Таблица2[[#This Row],[Номер заказа]],[1]!Таблица1[#Data],MATCH("Поставщик",[1]!Таблица1[#Headers],0),FALSE)</f>
        <v>КРЕПЕЖ РУС ООО</v>
      </c>
      <c r="Z184" s="39" t="s">
        <v>141</v>
      </c>
      <c r="AA184" s="47">
        <f>VLOOKUP(Таблица2[[#This Row],[Номер заказа]],[1]!Таблица1[#Data],MATCH("Дата",[1]!Таблица1[#Headers],0),FALSE)+0</f>
        <v>45730</v>
      </c>
      <c r="AB184" s="40" t="str">
        <f>VLOOKUP(Таблица2[[#This Row],[Номер заказа]],[1]!Таблица1[#Data],MATCH("Валюта",[1]!Таблица1[#Headers],0),FALSE)</f>
        <v>руб.</v>
      </c>
      <c r="AC184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5" spans="1:29" ht="14.25" customHeight="1" x14ac:dyDescent="0.2">
      <c r="A185" s="33" t="s">
        <v>344</v>
      </c>
      <c r="B185" s="34">
        <v>2</v>
      </c>
      <c r="C185" s="35"/>
      <c r="D185" s="36" t="s">
        <v>346</v>
      </c>
      <c r="E185" s="37"/>
      <c r="F185" s="38">
        <v>12</v>
      </c>
      <c r="G185" s="39"/>
      <c r="H185" s="40" t="s">
        <v>35</v>
      </c>
      <c r="I185" s="39"/>
      <c r="J185" s="41">
        <v>14.02</v>
      </c>
      <c r="K185" s="41">
        <v>168.24</v>
      </c>
      <c r="L185" s="42">
        <v>0.2</v>
      </c>
      <c r="M185" s="41">
        <v>28.04</v>
      </c>
      <c r="N185" s="41">
        <v>168.24</v>
      </c>
      <c r="O185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140.20000000000002</v>
      </c>
      <c r="P185" s="39" t="s">
        <v>340</v>
      </c>
      <c r="Q185" s="35" t="s">
        <v>341</v>
      </c>
      <c r="R185" s="43" t="s">
        <v>342</v>
      </c>
      <c r="S185" s="43" t="s">
        <v>172</v>
      </c>
      <c r="T185" s="44" t="s">
        <v>343</v>
      </c>
      <c r="U185" s="37" t="s">
        <v>41</v>
      </c>
      <c r="V185" s="48">
        <v>45734</v>
      </c>
      <c r="W185" s="39"/>
      <c r="X185" s="35" t="s">
        <v>41</v>
      </c>
      <c r="Y185" s="46" t="str">
        <f>VLOOKUP(Таблица2[[#This Row],[Номер заказа]],[1]!Таблица1[#Data],MATCH("Поставщик",[1]!Таблица1[#Headers],0),FALSE)</f>
        <v>КРЕПЕЖ РУС ООО</v>
      </c>
      <c r="Z185" s="39" t="s">
        <v>141</v>
      </c>
      <c r="AA185" s="47">
        <f>VLOOKUP(Таблица2[[#This Row],[Номер заказа]],[1]!Таблица1[#Data],MATCH("Дата",[1]!Таблица1[#Headers],0),FALSE)+0</f>
        <v>45730</v>
      </c>
      <c r="AB185" s="40" t="str">
        <f>VLOOKUP(Таблица2[[#This Row],[Номер заказа]],[1]!Таблица1[#Data],MATCH("Валюта",[1]!Таблица1[#Headers],0),FALSE)</f>
        <v>руб.</v>
      </c>
      <c r="AC185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6" spans="1:29" ht="14.25" customHeight="1" x14ac:dyDescent="0.2">
      <c r="A186" s="33" t="s">
        <v>347</v>
      </c>
      <c r="B186" s="34">
        <v>1</v>
      </c>
      <c r="C186" s="35"/>
      <c r="D186" s="36" t="s">
        <v>348</v>
      </c>
      <c r="E186" s="37"/>
      <c r="F186" s="38">
        <v>4</v>
      </c>
      <c r="G186" s="39"/>
      <c r="H186" s="40" t="s">
        <v>35</v>
      </c>
      <c r="I186" s="39"/>
      <c r="J186" s="41">
        <v>985</v>
      </c>
      <c r="K186" s="41">
        <v>3940</v>
      </c>
      <c r="L186" s="42">
        <v>0.2</v>
      </c>
      <c r="M186" s="41">
        <v>656.67</v>
      </c>
      <c r="N186" s="41">
        <v>3940</v>
      </c>
      <c r="O186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3283.33</v>
      </c>
      <c r="P186" s="39" t="s">
        <v>340</v>
      </c>
      <c r="Q186" s="35" t="s">
        <v>341</v>
      </c>
      <c r="R186" s="43" t="s">
        <v>342</v>
      </c>
      <c r="S186" s="43" t="s">
        <v>172</v>
      </c>
      <c r="T186" s="44" t="s">
        <v>343</v>
      </c>
      <c r="U186" s="37" t="s">
        <v>41</v>
      </c>
      <c r="V186" s="45"/>
      <c r="W186" s="39"/>
      <c r="X186" s="35" t="s">
        <v>41</v>
      </c>
      <c r="Y186" s="46" t="str">
        <f>VLOOKUP(Таблица2[[#This Row],[Номер заказа]],[1]!Таблица1[#Data],MATCH("Поставщик",[1]!Таблица1[#Headers],0),FALSE)</f>
        <v>МИР РТИ ПЕТЕРБУРГ ООО</v>
      </c>
      <c r="Z186" s="39" t="s">
        <v>141</v>
      </c>
      <c r="AA186" s="47">
        <f>VLOOKUP(Таблица2[[#This Row],[Номер заказа]],[1]!Таблица1[#Data],MATCH("Дата",[1]!Таблица1[#Headers],0),FALSE)+0</f>
        <v>45730</v>
      </c>
      <c r="AB186" s="40" t="str">
        <f>VLOOKUP(Таблица2[[#This Row],[Номер заказа]],[1]!Таблица1[#Data],MATCH("Валюта",[1]!Таблица1[#Headers],0),FALSE)</f>
        <v>руб.</v>
      </c>
      <c r="AC186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7" spans="1:29" ht="14.25" customHeight="1" x14ac:dyDescent="0.2">
      <c r="A187" s="33" t="s">
        <v>349</v>
      </c>
      <c r="B187" s="34">
        <v>1</v>
      </c>
      <c r="C187" s="35"/>
      <c r="D187" s="36" t="s">
        <v>350</v>
      </c>
      <c r="E187" s="37"/>
      <c r="F187" s="38">
        <v>2</v>
      </c>
      <c r="G187" s="39"/>
      <c r="H187" s="40"/>
      <c r="I187" s="39"/>
      <c r="J187" s="41">
        <v>71727.5</v>
      </c>
      <c r="K187" s="41">
        <v>143455</v>
      </c>
      <c r="L187" s="42">
        <v>0.2</v>
      </c>
      <c r="M187" s="41">
        <v>23909.17</v>
      </c>
      <c r="N187" s="41">
        <v>143455</v>
      </c>
      <c r="O187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119545.83</v>
      </c>
      <c r="P187" s="39"/>
      <c r="Q187" s="35" t="s">
        <v>351</v>
      </c>
      <c r="R187" s="43" t="s">
        <v>352</v>
      </c>
      <c r="S187" s="43" t="s">
        <v>180</v>
      </c>
      <c r="T187" s="44" t="s">
        <v>353</v>
      </c>
      <c r="U187" s="37" t="s">
        <v>47</v>
      </c>
      <c r="V187" s="45"/>
      <c r="W187" s="39"/>
      <c r="X187" s="35" t="s">
        <v>41</v>
      </c>
      <c r="Y187" s="46" t="str">
        <f>VLOOKUP(Таблица2[[#This Row],[Номер заказа]],[1]!Таблица1[#Data],MATCH("Поставщик",[1]!Таблица1[#Headers],0),FALSE)</f>
        <v>ЗАВОД ТЕРМИЧЕСКОЙ ОБРАБОТКИ МЕТАЛЛОВ ООО</v>
      </c>
      <c r="Z187" s="39" t="s">
        <v>48</v>
      </c>
      <c r="AA187" s="47">
        <f>VLOOKUP(Таблица2[[#This Row],[Номер заказа]],[1]!Таблица1[#Data],MATCH("Дата",[1]!Таблица1[#Headers],0),FALSE)+0</f>
        <v>45736</v>
      </c>
      <c r="AB187" s="40" t="str">
        <f>VLOOKUP(Таблица2[[#This Row],[Номер заказа]],[1]!Таблица1[#Data],MATCH("Валюта",[1]!Таблица1[#Headers],0),FALSE)</f>
        <v>руб.</v>
      </c>
      <c r="AC187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8" spans="1:29" ht="14.25" customHeight="1" x14ac:dyDescent="0.2">
      <c r="A188" s="33" t="s">
        <v>349</v>
      </c>
      <c r="B188" s="34">
        <v>2</v>
      </c>
      <c r="C188" s="35"/>
      <c r="D188" s="36" t="s">
        <v>350</v>
      </c>
      <c r="E188" s="37"/>
      <c r="F188" s="38">
        <v>2</v>
      </c>
      <c r="G188" s="39"/>
      <c r="H188" s="40"/>
      <c r="I188" s="39"/>
      <c r="J188" s="41">
        <v>71727.5</v>
      </c>
      <c r="K188" s="41">
        <v>143455</v>
      </c>
      <c r="L188" s="42">
        <v>0.2</v>
      </c>
      <c r="M188" s="41">
        <v>23909.17</v>
      </c>
      <c r="N188" s="41">
        <v>143455</v>
      </c>
      <c r="O188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119545.83</v>
      </c>
      <c r="P188" s="39"/>
      <c r="Q188" s="35" t="s">
        <v>351</v>
      </c>
      <c r="R188" s="43" t="s">
        <v>354</v>
      </c>
      <c r="S188" s="43" t="s">
        <v>182</v>
      </c>
      <c r="T188" s="44" t="s">
        <v>353</v>
      </c>
      <c r="U188" s="37" t="s">
        <v>47</v>
      </c>
      <c r="V188" s="45"/>
      <c r="W188" s="39"/>
      <c r="X188" s="35" t="s">
        <v>41</v>
      </c>
      <c r="Y188" s="46" t="str">
        <f>VLOOKUP(Таблица2[[#This Row],[Номер заказа]],[1]!Таблица1[#Data],MATCH("Поставщик",[1]!Таблица1[#Headers],0),FALSE)</f>
        <v>ЗАВОД ТЕРМИЧЕСКОЙ ОБРАБОТКИ МЕТАЛЛОВ ООО</v>
      </c>
      <c r="Z188" s="39" t="s">
        <v>48</v>
      </c>
      <c r="AA188" s="47">
        <f>VLOOKUP(Таблица2[[#This Row],[Номер заказа]],[1]!Таблица1[#Data],MATCH("Дата",[1]!Таблица1[#Headers],0),FALSE)+0</f>
        <v>45736</v>
      </c>
      <c r="AB188" s="40" t="str">
        <f>VLOOKUP(Таблица2[[#This Row],[Номер заказа]],[1]!Таблица1[#Data],MATCH("Валюта",[1]!Таблица1[#Headers],0),FALSE)</f>
        <v>руб.</v>
      </c>
      <c r="AC188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89" spans="1:29" ht="14.25" customHeight="1" x14ac:dyDescent="0.2">
      <c r="A189" s="33" t="s">
        <v>349</v>
      </c>
      <c r="B189" s="34">
        <v>3</v>
      </c>
      <c r="C189" s="35"/>
      <c r="D189" s="36" t="s">
        <v>350</v>
      </c>
      <c r="E189" s="37"/>
      <c r="F189" s="38">
        <v>1</v>
      </c>
      <c r="G189" s="39"/>
      <c r="H189" s="40"/>
      <c r="I189" s="39"/>
      <c r="J189" s="41">
        <v>71727.5</v>
      </c>
      <c r="K189" s="41">
        <v>71727.5</v>
      </c>
      <c r="L189" s="42">
        <v>0.2</v>
      </c>
      <c r="M189" s="41">
        <v>11954.58</v>
      </c>
      <c r="N189" s="41">
        <v>71727.5</v>
      </c>
      <c r="O189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59772.92</v>
      </c>
      <c r="P189" s="39"/>
      <c r="Q189" s="35" t="s">
        <v>351</v>
      </c>
      <c r="R189" s="43" t="s">
        <v>355</v>
      </c>
      <c r="S189" s="43" t="s">
        <v>178</v>
      </c>
      <c r="T189" s="44" t="s">
        <v>353</v>
      </c>
      <c r="U189" s="37" t="s">
        <v>47</v>
      </c>
      <c r="V189" s="45"/>
      <c r="W189" s="39"/>
      <c r="X189" s="35" t="s">
        <v>41</v>
      </c>
      <c r="Y189" s="46" t="str">
        <f>VLOOKUP(Таблица2[[#This Row],[Номер заказа]],[1]!Таблица1[#Data],MATCH("Поставщик",[1]!Таблица1[#Headers],0),FALSE)</f>
        <v>ЗАВОД ТЕРМИЧЕСКОЙ ОБРАБОТКИ МЕТАЛЛОВ ООО</v>
      </c>
      <c r="Z189" s="39" t="s">
        <v>48</v>
      </c>
      <c r="AA189" s="47">
        <f>VLOOKUP(Таблица2[[#This Row],[Номер заказа]],[1]!Таблица1[#Data],MATCH("Дата",[1]!Таблица1[#Headers],0),FALSE)+0</f>
        <v>45736</v>
      </c>
      <c r="AB189" s="40" t="str">
        <f>VLOOKUP(Таблица2[[#This Row],[Номер заказа]],[1]!Таблица1[#Data],MATCH("Валюта",[1]!Таблица1[#Headers],0),FALSE)</f>
        <v>руб.</v>
      </c>
      <c r="AC189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0" spans="1:29" ht="14.25" customHeight="1" x14ac:dyDescent="0.2">
      <c r="A190" s="33" t="s">
        <v>349</v>
      </c>
      <c r="B190" s="34">
        <v>4</v>
      </c>
      <c r="C190" s="35"/>
      <c r="D190" s="36" t="s">
        <v>350</v>
      </c>
      <c r="E190" s="37"/>
      <c r="F190" s="38">
        <v>1</v>
      </c>
      <c r="G190" s="39"/>
      <c r="H190" s="40"/>
      <c r="I190" s="39"/>
      <c r="J190" s="41">
        <v>71727.5</v>
      </c>
      <c r="K190" s="41">
        <v>71727.5</v>
      </c>
      <c r="L190" s="42">
        <v>0.2</v>
      </c>
      <c r="M190" s="41">
        <v>11954.58</v>
      </c>
      <c r="N190" s="41">
        <v>71727.5</v>
      </c>
      <c r="O190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59772.92</v>
      </c>
      <c r="P190" s="39"/>
      <c r="Q190" s="35" t="s">
        <v>351</v>
      </c>
      <c r="R190" s="43" t="s">
        <v>356</v>
      </c>
      <c r="S190" s="43" t="s">
        <v>172</v>
      </c>
      <c r="T190" s="44" t="s">
        <v>353</v>
      </c>
      <c r="U190" s="37" t="s">
        <v>47</v>
      </c>
      <c r="V190" s="45"/>
      <c r="W190" s="39"/>
      <c r="X190" s="35" t="s">
        <v>41</v>
      </c>
      <c r="Y190" s="46" t="str">
        <f>VLOOKUP(Таблица2[[#This Row],[Номер заказа]],[1]!Таблица1[#Data],MATCH("Поставщик",[1]!Таблица1[#Headers],0),FALSE)</f>
        <v>ЗАВОД ТЕРМИЧЕСКОЙ ОБРАБОТКИ МЕТАЛЛОВ ООО</v>
      </c>
      <c r="Z190" s="39" t="s">
        <v>48</v>
      </c>
      <c r="AA190" s="47">
        <f>VLOOKUP(Таблица2[[#This Row],[Номер заказа]],[1]!Таблица1[#Data],MATCH("Дата",[1]!Таблица1[#Headers],0),FALSE)+0</f>
        <v>45736</v>
      </c>
      <c r="AB190" s="40" t="str">
        <f>VLOOKUP(Таблица2[[#This Row],[Номер заказа]],[1]!Таблица1[#Data],MATCH("Валюта",[1]!Таблица1[#Headers],0),FALSE)</f>
        <v>руб.</v>
      </c>
      <c r="AC190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1" spans="1:29" ht="14.25" customHeight="1" x14ac:dyDescent="0.2">
      <c r="A191" s="33" t="s">
        <v>357</v>
      </c>
      <c r="B191" s="34">
        <v>1</v>
      </c>
      <c r="C191" s="35"/>
      <c r="D191" s="36" t="s">
        <v>358</v>
      </c>
      <c r="E191" s="37"/>
      <c r="F191" s="38">
        <v>2</v>
      </c>
      <c r="G191" s="39"/>
      <c r="H191" s="40"/>
      <c r="I191" s="39"/>
      <c r="J191" s="41">
        <v>3630</v>
      </c>
      <c r="K191" s="41">
        <v>7260</v>
      </c>
      <c r="L191" s="42">
        <v>0.2</v>
      </c>
      <c r="M191" s="41">
        <v>1210</v>
      </c>
      <c r="N191" s="41">
        <v>7260</v>
      </c>
      <c r="O191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6050</v>
      </c>
      <c r="P191" s="39"/>
      <c r="Q191" s="35" t="s">
        <v>351</v>
      </c>
      <c r="R191" s="43" t="s">
        <v>359</v>
      </c>
      <c r="S191" s="43" t="s">
        <v>180</v>
      </c>
      <c r="T191" s="44" t="s">
        <v>353</v>
      </c>
      <c r="U191" s="37" t="s">
        <v>47</v>
      </c>
      <c r="V191" s="45"/>
      <c r="W191" s="39"/>
      <c r="X191" s="35" t="s">
        <v>41</v>
      </c>
      <c r="Y191" s="46" t="str">
        <f>VLOOKUP(Таблица2[[#This Row],[Номер заказа]],[1]!Таблица1[#Data],MATCH("Поставщик",[1]!Таблица1[#Headers],0),FALSE)</f>
        <v>МЕТАКОМ ООО</v>
      </c>
      <c r="Z191" s="39" t="s">
        <v>48</v>
      </c>
      <c r="AA191" s="47">
        <f>VLOOKUP(Таблица2[[#This Row],[Номер заказа]],[1]!Таблица1[#Data],MATCH("Дата",[1]!Таблица1[#Headers],0),FALSE)+0</f>
        <v>45736</v>
      </c>
      <c r="AB191" s="40" t="str">
        <f>VLOOKUP(Таблица2[[#This Row],[Номер заказа]],[1]!Таблица1[#Data],MATCH("Валюта",[1]!Таблица1[#Headers],0),FALSE)</f>
        <v>руб.</v>
      </c>
      <c r="AC191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2" spans="1:29" ht="14.25" customHeight="1" x14ac:dyDescent="0.2">
      <c r="A192" s="33" t="s">
        <v>357</v>
      </c>
      <c r="B192" s="34">
        <v>2</v>
      </c>
      <c r="C192" s="35"/>
      <c r="D192" s="36" t="s">
        <v>358</v>
      </c>
      <c r="E192" s="37"/>
      <c r="F192" s="38">
        <v>2</v>
      </c>
      <c r="G192" s="39"/>
      <c r="H192" s="40"/>
      <c r="I192" s="39"/>
      <c r="J192" s="41">
        <v>3630</v>
      </c>
      <c r="K192" s="41">
        <v>7260</v>
      </c>
      <c r="L192" s="42">
        <v>0.2</v>
      </c>
      <c r="M192" s="41">
        <v>1210</v>
      </c>
      <c r="N192" s="41">
        <v>7260</v>
      </c>
      <c r="O192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6050</v>
      </c>
      <c r="P192" s="39"/>
      <c r="Q192" s="35" t="s">
        <v>351</v>
      </c>
      <c r="R192" s="43" t="s">
        <v>360</v>
      </c>
      <c r="S192" s="43" t="s">
        <v>182</v>
      </c>
      <c r="T192" s="44" t="s">
        <v>353</v>
      </c>
      <c r="U192" s="37" t="s">
        <v>47</v>
      </c>
      <c r="V192" s="45"/>
      <c r="W192" s="39"/>
      <c r="X192" s="35" t="s">
        <v>41</v>
      </c>
      <c r="Y192" s="46" t="str">
        <f>VLOOKUP(Таблица2[[#This Row],[Номер заказа]],[1]!Таблица1[#Data],MATCH("Поставщик",[1]!Таблица1[#Headers],0),FALSE)</f>
        <v>МЕТАКОМ ООО</v>
      </c>
      <c r="Z192" s="39" t="s">
        <v>48</v>
      </c>
      <c r="AA192" s="47">
        <f>VLOOKUP(Таблица2[[#This Row],[Номер заказа]],[1]!Таблица1[#Data],MATCH("Дата",[1]!Таблица1[#Headers],0),FALSE)+0</f>
        <v>45736</v>
      </c>
      <c r="AB192" s="40" t="str">
        <f>VLOOKUP(Таблица2[[#This Row],[Номер заказа]],[1]!Таблица1[#Data],MATCH("Валюта",[1]!Таблица1[#Headers],0),FALSE)</f>
        <v>руб.</v>
      </c>
      <c r="AC192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3" spans="1:29" ht="14.25" customHeight="1" x14ac:dyDescent="0.2">
      <c r="A193" s="33" t="s">
        <v>357</v>
      </c>
      <c r="B193" s="34">
        <v>3</v>
      </c>
      <c r="C193" s="35"/>
      <c r="D193" s="36" t="s">
        <v>358</v>
      </c>
      <c r="E193" s="37"/>
      <c r="F193" s="38">
        <v>1</v>
      </c>
      <c r="G193" s="39"/>
      <c r="H193" s="40"/>
      <c r="I193" s="39"/>
      <c r="J193" s="41">
        <v>3630</v>
      </c>
      <c r="K193" s="41">
        <v>3630</v>
      </c>
      <c r="L193" s="42">
        <v>0.2</v>
      </c>
      <c r="M193" s="41">
        <v>605</v>
      </c>
      <c r="N193" s="41">
        <v>3630</v>
      </c>
      <c r="O193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3025</v>
      </c>
      <c r="P193" s="39"/>
      <c r="Q193" s="35" t="s">
        <v>351</v>
      </c>
      <c r="R193" s="43" t="s">
        <v>361</v>
      </c>
      <c r="S193" s="43" t="s">
        <v>178</v>
      </c>
      <c r="T193" s="44" t="s">
        <v>353</v>
      </c>
      <c r="U193" s="37" t="s">
        <v>47</v>
      </c>
      <c r="V193" s="45"/>
      <c r="W193" s="39"/>
      <c r="X193" s="35" t="s">
        <v>41</v>
      </c>
      <c r="Y193" s="46" t="str">
        <f>VLOOKUP(Таблица2[[#This Row],[Номер заказа]],[1]!Таблица1[#Data],MATCH("Поставщик",[1]!Таблица1[#Headers],0),FALSE)</f>
        <v>МЕТАКОМ ООО</v>
      </c>
      <c r="Z193" s="39" t="s">
        <v>48</v>
      </c>
      <c r="AA193" s="47">
        <f>VLOOKUP(Таблица2[[#This Row],[Номер заказа]],[1]!Таблица1[#Data],MATCH("Дата",[1]!Таблица1[#Headers],0),FALSE)+0</f>
        <v>45736</v>
      </c>
      <c r="AB193" s="40" t="str">
        <f>VLOOKUP(Таблица2[[#This Row],[Номер заказа]],[1]!Таблица1[#Data],MATCH("Валюта",[1]!Таблица1[#Headers],0),FALSE)</f>
        <v>руб.</v>
      </c>
      <c r="AC193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4" spans="1:29" ht="14.25" customHeight="1" x14ac:dyDescent="0.2">
      <c r="A194" s="33" t="s">
        <v>357</v>
      </c>
      <c r="B194" s="34">
        <v>4</v>
      </c>
      <c r="C194" s="35"/>
      <c r="D194" s="36" t="s">
        <v>358</v>
      </c>
      <c r="E194" s="37"/>
      <c r="F194" s="38">
        <v>1</v>
      </c>
      <c r="G194" s="39"/>
      <c r="H194" s="40"/>
      <c r="I194" s="39"/>
      <c r="J194" s="41">
        <v>3630</v>
      </c>
      <c r="K194" s="41">
        <v>3630</v>
      </c>
      <c r="L194" s="42">
        <v>0.2</v>
      </c>
      <c r="M194" s="41">
        <v>605</v>
      </c>
      <c r="N194" s="41">
        <v>3630</v>
      </c>
      <c r="O194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3025</v>
      </c>
      <c r="P194" s="39"/>
      <c r="Q194" s="35" t="s">
        <v>351</v>
      </c>
      <c r="R194" s="43" t="s">
        <v>362</v>
      </c>
      <c r="S194" s="43" t="s">
        <v>172</v>
      </c>
      <c r="T194" s="44" t="s">
        <v>353</v>
      </c>
      <c r="U194" s="37" t="s">
        <v>47</v>
      </c>
      <c r="V194" s="45"/>
      <c r="W194" s="39"/>
      <c r="X194" s="35" t="s">
        <v>41</v>
      </c>
      <c r="Y194" s="46" t="str">
        <f>VLOOKUP(Таблица2[[#This Row],[Номер заказа]],[1]!Таблица1[#Data],MATCH("Поставщик",[1]!Таблица1[#Headers],0),FALSE)</f>
        <v>МЕТАКОМ ООО</v>
      </c>
      <c r="Z194" s="39" t="s">
        <v>48</v>
      </c>
      <c r="AA194" s="47">
        <f>VLOOKUP(Таблица2[[#This Row],[Номер заказа]],[1]!Таблица1[#Data],MATCH("Дата",[1]!Таблица1[#Headers],0),FALSE)+0</f>
        <v>45736</v>
      </c>
      <c r="AB194" s="40" t="str">
        <f>VLOOKUP(Таблица2[[#This Row],[Номер заказа]],[1]!Таблица1[#Data],MATCH("Валюта",[1]!Таблица1[#Headers],0),FALSE)</f>
        <v>руб.</v>
      </c>
      <c r="AC194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5" spans="1:29" ht="14.25" customHeight="1" x14ac:dyDescent="0.2">
      <c r="A195" s="33" t="s">
        <v>363</v>
      </c>
      <c r="B195" s="34">
        <v>1</v>
      </c>
      <c r="C195" s="35"/>
      <c r="D195" s="36" t="s">
        <v>364</v>
      </c>
      <c r="E195" s="37"/>
      <c r="F195" s="38">
        <v>2</v>
      </c>
      <c r="G195" s="39"/>
      <c r="H195" s="40" t="s">
        <v>35</v>
      </c>
      <c r="I195" s="39"/>
      <c r="J195" s="41">
        <v>22800</v>
      </c>
      <c r="K195" s="41">
        <v>45600</v>
      </c>
      <c r="L195" s="42">
        <v>0.2</v>
      </c>
      <c r="M195" s="41">
        <v>7600</v>
      </c>
      <c r="N195" s="41">
        <v>45600</v>
      </c>
      <c r="O195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38000</v>
      </c>
      <c r="P195" s="39" t="s">
        <v>340</v>
      </c>
      <c r="Q195" s="35"/>
      <c r="R195" s="43" t="s">
        <v>365</v>
      </c>
      <c r="S195" s="43" t="s">
        <v>178</v>
      </c>
      <c r="T195" s="44"/>
      <c r="U195" s="37" t="s">
        <v>41</v>
      </c>
      <c r="V195" s="45"/>
      <c r="W195" s="39"/>
      <c r="X195" s="35" t="s">
        <v>41</v>
      </c>
      <c r="Y195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95" s="39" t="s">
        <v>141</v>
      </c>
      <c r="AA195" s="47">
        <f>VLOOKUP(Таблица2[[#This Row],[Номер заказа]],[1]!Таблица1[#Data],MATCH("Дата",[1]!Таблица1[#Headers],0),FALSE)+0</f>
        <v>45765</v>
      </c>
      <c r="AB195" s="40" t="str">
        <f>VLOOKUP(Таблица2[[#This Row],[Номер заказа]],[1]!Таблица1[#Data],MATCH("Валюта",[1]!Таблица1[#Headers],0),FALSE)</f>
        <v>руб.</v>
      </c>
      <c r="AC195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6" spans="1:29" ht="14.25" customHeight="1" x14ac:dyDescent="0.2">
      <c r="A196" s="33" t="s">
        <v>363</v>
      </c>
      <c r="B196" s="34">
        <v>2</v>
      </c>
      <c r="C196" s="35"/>
      <c r="D196" s="36" t="s">
        <v>366</v>
      </c>
      <c r="E196" s="37"/>
      <c r="F196" s="38">
        <v>4</v>
      </c>
      <c r="G196" s="39"/>
      <c r="H196" s="40" t="s">
        <v>35</v>
      </c>
      <c r="I196" s="39"/>
      <c r="J196" s="41">
        <v>4326</v>
      </c>
      <c r="K196" s="41">
        <v>17304</v>
      </c>
      <c r="L196" s="42">
        <v>0.2</v>
      </c>
      <c r="M196" s="41">
        <v>2884</v>
      </c>
      <c r="N196" s="41">
        <v>17304</v>
      </c>
      <c r="O196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14420</v>
      </c>
      <c r="P196" s="39" t="s">
        <v>340</v>
      </c>
      <c r="Q196" s="35"/>
      <c r="R196" s="43" t="s">
        <v>367</v>
      </c>
      <c r="S196" s="43" t="s">
        <v>172</v>
      </c>
      <c r="T196" s="44"/>
      <c r="U196" s="37" t="s">
        <v>41</v>
      </c>
      <c r="V196" s="45"/>
      <c r="W196" s="39"/>
      <c r="X196" s="35" t="s">
        <v>41</v>
      </c>
      <c r="Y196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96" s="39" t="s">
        <v>141</v>
      </c>
      <c r="AA196" s="47">
        <f>VLOOKUP(Таблица2[[#This Row],[Номер заказа]],[1]!Таблица1[#Data],MATCH("Дата",[1]!Таблица1[#Headers],0),FALSE)+0</f>
        <v>45765</v>
      </c>
      <c r="AB196" s="40" t="str">
        <f>VLOOKUP(Таблица2[[#This Row],[Номер заказа]],[1]!Таблица1[#Data],MATCH("Валюта",[1]!Таблица1[#Headers],0),FALSE)</f>
        <v>руб.</v>
      </c>
      <c r="AC196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7" spans="1:29" ht="14.25" customHeight="1" x14ac:dyDescent="0.2">
      <c r="A197" s="33" t="s">
        <v>363</v>
      </c>
      <c r="B197" s="34">
        <v>3</v>
      </c>
      <c r="C197" s="35"/>
      <c r="D197" s="36" t="s">
        <v>368</v>
      </c>
      <c r="E197" s="37"/>
      <c r="F197" s="38">
        <v>2</v>
      </c>
      <c r="G197" s="39"/>
      <c r="H197" s="40" t="s">
        <v>35</v>
      </c>
      <c r="I197" s="39"/>
      <c r="J197" s="41">
        <v>11916</v>
      </c>
      <c r="K197" s="41">
        <v>23832</v>
      </c>
      <c r="L197" s="42">
        <v>0.2</v>
      </c>
      <c r="M197" s="41">
        <v>3972</v>
      </c>
      <c r="N197" s="41">
        <v>23832</v>
      </c>
      <c r="O197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19860</v>
      </c>
      <c r="P197" s="39" t="s">
        <v>340</v>
      </c>
      <c r="Q197" s="35"/>
      <c r="R197" s="43" t="s">
        <v>365</v>
      </c>
      <c r="S197" s="43" t="s">
        <v>178</v>
      </c>
      <c r="T197" s="44"/>
      <c r="U197" s="37" t="s">
        <v>41</v>
      </c>
      <c r="V197" s="45"/>
      <c r="W197" s="39"/>
      <c r="X197" s="35" t="s">
        <v>41</v>
      </c>
      <c r="Y197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97" s="39" t="s">
        <v>141</v>
      </c>
      <c r="AA197" s="47">
        <f>VLOOKUP(Таблица2[[#This Row],[Номер заказа]],[1]!Таблица1[#Data],MATCH("Дата",[1]!Таблица1[#Headers],0),FALSE)+0</f>
        <v>45765</v>
      </c>
      <c r="AB197" s="40" t="str">
        <f>VLOOKUP(Таблица2[[#This Row],[Номер заказа]],[1]!Таблица1[#Data],MATCH("Валюта",[1]!Таблица1[#Headers],0),FALSE)</f>
        <v>руб.</v>
      </c>
      <c r="AC197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8" spans="1:29" ht="14.25" customHeight="1" x14ac:dyDescent="0.2">
      <c r="A198" s="33" t="s">
        <v>363</v>
      </c>
      <c r="B198" s="34">
        <v>4</v>
      </c>
      <c r="C198" s="35"/>
      <c r="D198" s="36" t="s">
        <v>368</v>
      </c>
      <c r="E198" s="37"/>
      <c r="F198" s="38">
        <v>2</v>
      </c>
      <c r="G198" s="39"/>
      <c r="H198" s="40" t="s">
        <v>35</v>
      </c>
      <c r="I198" s="39"/>
      <c r="J198" s="41">
        <v>11916</v>
      </c>
      <c r="K198" s="41">
        <v>23832</v>
      </c>
      <c r="L198" s="42">
        <v>0.2</v>
      </c>
      <c r="M198" s="41">
        <v>3972</v>
      </c>
      <c r="N198" s="41">
        <v>23832</v>
      </c>
      <c r="O198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19860</v>
      </c>
      <c r="P198" s="39" t="s">
        <v>340</v>
      </c>
      <c r="Q198" s="35"/>
      <c r="R198" s="43" t="s">
        <v>369</v>
      </c>
      <c r="S198" s="43" t="s">
        <v>180</v>
      </c>
      <c r="T198" s="44"/>
      <c r="U198" s="37" t="s">
        <v>41</v>
      </c>
      <c r="V198" s="45"/>
      <c r="W198" s="39"/>
      <c r="X198" s="35" t="s">
        <v>41</v>
      </c>
      <c r="Y198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98" s="39" t="s">
        <v>141</v>
      </c>
      <c r="AA198" s="47">
        <f>VLOOKUP(Таблица2[[#This Row],[Номер заказа]],[1]!Таблица1[#Data],MATCH("Дата",[1]!Таблица1[#Headers],0),FALSE)+0</f>
        <v>45765</v>
      </c>
      <c r="AB198" s="40" t="str">
        <f>VLOOKUP(Таблица2[[#This Row],[Номер заказа]],[1]!Таблица1[#Data],MATCH("Валюта",[1]!Таблица1[#Headers],0),FALSE)</f>
        <v>руб.</v>
      </c>
      <c r="AC198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199" spans="1:29" ht="14.25" customHeight="1" x14ac:dyDescent="0.2">
      <c r="A199" s="33" t="s">
        <v>363</v>
      </c>
      <c r="B199" s="34">
        <v>5</v>
      </c>
      <c r="C199" s="35"/>
      <c r="D199" s="36" t="s">
        <v>368</v>
      </c>
      <c r="E199" s="37"/>
      <c r="F199" s="38">
        <v>4</v>
      </c>
      <c r="G199" s="39"/>
      <c r="H199" s="40" t="s">
        <v>35</v>
      </c>
      <c r="I199" s="39"/>
      <c r="J199" s="41">
        <v>11916</v>
      </c>
      <c r="K199" s="41">
        <v>47664</v>
      </c>
      <c r="L199" s="42">
        <v>0.2</v>
      </c>
      <c r="M199" s="41">
        <v>7944</v>
      </c>
      <c r="N199" s="41">
        <v>47664</v>
      </c>
      <c r="O199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39720</v>
      </c>
      <c r="P199" s="39" t="s">
        <v>340</v>
      </c>
      <c r="Q199" s="35"/>
      <c r="R199" s="43" t="s">
        <v>370</v>
      </c>
      <c r="S199" s="43" t="s">
        <v>182</v>
      </c>
      <c r="T199" s="44"/>
      <c r="U199" s="37" t="s">
        <v>41</v>
      </c>
      <c r="V199" s="45"/>
      <c r="W199" s="39"/>
      <c r="X199" s="35" t="s">
        <v>41</v>
      </c>
      <c r="Y199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199" s="39" t="s">
        <v>141</v>
      </c>
      <c r="AA199" s="47">
        <f>VLOOKUP(Таблица2[[#This Row],[Номер заказа]],[1]!Таблица1[#Data],MATCH("Дата",[1]!Таблица1[#Headers],0),FALSE)+0</f>
        <v>45765</v>
      </c>
      <c r="AB199" s="40" t="str">
        <f>VLOOKUP(Таблица2[[#This Row],[Номер заказа]],[1]!Таблица1[#Data],MATCH("Валюта",[1]!Таблица1[#Headers],0),FALSE)</f>
        <v>руб.</v>
      </c>
      <c r="AC199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0" spans="1:29" ht="14.25" customHeight="1" x14ac:dyDescent="0.2">
      <c r="A200" s="33" t="s">
        <v>363</v>
      </c>
      <c r="B200" s="34">
        <v>6</v>
      </c>
      <c r="C200" s="35"/>
      <c r="D200" s="36" t="s">
        <v>366</v>
      </c>
      <c r="E200" s="37"/>
      <c r="F200" s="38">
        <v>8</v>
      </c>
      <c r="G200" s="39"/>
      <c r="H200" s="40" t="s">
        <v>35</v>
      </c>
      <c r="I200" s="39"/>
      <c r="J200" s="41">
        <v>4326</v>
      </c>
      <c r="K200" s="41">
        <v>34608</v>
      </c>
      <c r="L200" s="42">
        <v>0.2</v>
      </c>
      <c r="M200" s="41">
        <v>5768</v>
      </c>
      <c r="N200" s="41">
        <v>34608</v>
      </c>
      <c r="O200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28840</v>
      </c>
      <c r="P200" s="39" t="s">
        <v>340</v>
      </c>
      <c r="Q200" s="35"/>
      <c r="R200" s="43" t="s">
        <v>370</v>
      </c>
      <c r="S200" s="43" t="s">
        <v>182</v>
      </c>
      <c r="T200" s="44"/>
      <c r="U200" s="37" t="s">
        <v>41</v>
      </c>
      <c r="V200" s="45"/>
      <c r="W200" s="39"/>
      <c r="X200" s="35" t="s">
        <v>41</v>
      </c>
      <c r="Y200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00" s="39" t="s">
        <v>141</v>
      </c>
      <c r="AA200" s="47">
        <f>VLOOKUP(Таблица2[[#This Row],[Номер заказа]],[1]!Таблица1[#Data],MATCH("Дата",[1]!Таблица1[#Headers],0),FALSE)+0</f>
        <v>45765</v>
      </c>
      <c r="AB200" s="40" t="str">
        <f>VLOOKUP(Таблица2[[#This Row],[Номер заказа]],[1]!Таблица1[#Data],MATCH("Валюта",[1]!Таблица1[#Headers],0),FALSE)</f>
        <v>руб.</v>
      </c>
      <c r="AC200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1" spans="1:29" ht="14.25" customHeight="1" x14ac:dyDescent="0.2">
      <c r="A201" s="33" t="s">
        <v>363</v>
      </c>
      <c r="B201" s="34">
        <v>7</v>
      </c>
      <c r="C201" s="35"/>
      <c r="D201" s="36" t="s">
        <v>366</v>
      </c>
      <c r="E201" s="37"/>
      <c r="F201" s="38">
        <v>4</v>
      </c>
      <c r="G201" s="39"/>
      <c r="H201" s="40" t="s">
        <v>35</v>
      </c>
      <c r="I201" s="39"/>
      <c r="J201" s="41">
        <v>4326</v>
      </c>
      <c r="K201" s="41">
        <v>17304</v>
      </c>
      <c r="L201" s="42">
        <v>0.2</v>
      </c>
      <c r="M201" s="41">
        <v>2884</v>
      </c>
      <c r="N201" s="41">
        <v>17304</v>
      </c>
      <c r="O201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14420</v>
      </c>
      <c r="P201" s="39" t="s">
        <v>340</v>
      </c>
      <c r="Q201" s="35"/>
      <c r="R201" s="43" t="s">
        <v>365</v>
      </c>
      <c r="S201" s="43" t="s">
        <v>178</v>
      </c>
      <c r="T201" s="44"/>
      <c r="U201" s="37" t="s">
        <v>41</v>
      </c>
      <c r="V201" s="45"/>
      <c r="W201" s="39"/>
      <c r="X201" s="35" t="s">
        <v>41</v>
      </c>
      <c r="Y201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01" s="39" t="s">
        <v>141</v>
      </c>
      <c r="AA201" s="47">
        <f>VLOOKUP(Таблица2[[#This Row],[Номер заказа]],[1]!Таблица1[#Data],MATCH("Дата",[1]!Таблица1[#Headers],0),FALSE)+0</f>
        <v>45765</v>
      </c>
      <c r="AB201" s="40" t="str">
        <f>VLOOKUP(Таблица2[[#This Row],[Номер заказа]],[1]!Таблица1[#Data],MATCH("Валюта",[1]!Таблица1[#Headers],0),FALSE)</f>
        <v>руб.</v>
      </c>
      <c r="AC201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2" spans="1:29" ht="14.25" customHeight="1" x14ac:dyDescent="0.2">
      <c r="A202" s="33" t="s">
        <v>363</v>
      </c>
      <c r="B202" s="34">
        <v>8</v>
      </c>
      <c r="C202" s="35"/>
      <c r="D202" s="36" t="s">
        <v>366</v>
      </c>
      <c r="E202" s="37"/>
      <c r="F202" s="38">
        <v>4</v>
      </c>
      <c r="G202" s="39"/>
      <c r="H202" s="40" t="s">
        <v>35</v>
      </c>
      <c r="I202" s="39"/>
      <c r="J202" s="41">
        <v>4326</v>
      </c>
      <c r="K202" s="41">
        <v>17304</v>
      </c>
      <c r="L202" s="42">
        <v>0.2</v>
      </c>
      <c r="M202" s="41">
        <v>2884</v>
      </c>
      <c r="N202" s="41">
        <v>17304</v>
      </c>
      <c r="O202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14420</v>
      </c>
      <c r="P202" s="39" t="s">
        <v>340</v>
      </c>
      <c r="Q202" s="35"/>
      <c r="R202" s="43" t="s">
        <v>369</v>
      </c>
      <c r="S202" s="43" t="s">
        <v>180</v>
      </c>
      <c r="T202" s="44"/>
      <c r="U202" s="37" t="s">
        <v>41</v>
      </c>
      <c r="V202" s="45"/>
      <c r="W202" s="39"/>
      <c r="X202" s="35" t="s">
        <v>41</v>
      </c>
      <c r="Y202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02" s="39" t="s">
        <v>141</v>
      </c>
      <c r="AA202" s="47">
        <f>VLOOKUP(Таблица2[[#This Row],[Номер заказа]],[1]!Таблица1[#Data],MATCH("Дата",[1]!Таблица1[#Headers],0),FALSE)+0</f>
        <v>45765</v>
      </c>
      <c r="AB202" s="40" t="str">
        <f>VLOOKUP(Таблица2[[#This Row],[Номер заказа]],[1]!Таблица1[#Data],MATCH("Валюта",[1]!Таблица1[#Headers],0),FALSE)</f>
        <v>руб.</v>
      </c>
      <c r="AC202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3" spans="1:29" ht="14.25" customHeight="1" x14ac:dyDescent="0.2">
      <c r="A203" s="33" t="s">
        <v>371</v>
      </c>
      <c r="B203" s="34">
        <v>1</v>
      </c>
      <c r="C203" s="35"/>
      <c r="D203" s="36" t="s">
        <v>372</v>
      </c>
      <c r="E203" s="37"/>
      <c r="F203" s="38">
        <v>100</v>
      </c>
      <c r="G203" s="39"/>
      <c r="H203" s="40" t="s">
        <v>35</v>
      </c>
      <c r="I203" s="39"/>
      <c r="J203" s="41">
        <v>61.6</v>
      </c>
      <c r="K203" s="41">
        <v>6160</v>
      </c>
      <c r="L203" s="42">
        <v>0.2</v>
      </c>
      <c r="M203" s="41">
        <v>1026.67</v>
      </c>
      <c r="N203" s="41">
        <v>6160</v>
      </c>
      <c r="O203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5133.33</v>
      </c>
      <c r="P203" s="39" t="s">
        <v>340</v>
      </c>
      <c r="Q203" s="35" t="s">
        <v>341</v>
      </c>
      <c r="R203" s="43" t="s">
        <v>373</v>
      </c>
      <c r="S203" s="43" t="s">
        <v>172</v>
      </c>
      <c r="T203" s="44" t="s">
        <v>343</v>
      </c>
      <c r="U203" s="37" t="s">
        <v>41</v>
      </c>
      <c r="V203" s="45"/>
      <c r="W203" s="39"/>
      <c r="X203" s="35" t="s">
        <v>41</v>
      </c>
      <c r="Y203" s="46" t="str">
        <f>VLOOKUP(Таблица2[[#This Row],[Номер заказа]],[1]!Таблица1[#Data],MATCH("Поставщик",[1]!Таблица1[#Headers],0),FALSE)</f>
        <v>ВЕЛАР ООО</v>
      </c>
      <c r="Z203" s="39" t="s">
        <v>141</v>
      </c>
      <c r="AA203" s="47">
        <f>VLOOKUP(Таблица2[[#This Row],[Номер заказа]],[1]!Таблица1[#Data],MATCH("Дата",[1]!Таблица1[#Headers],0),FALSE)+0</f>
        <v>45790</v>
      </c>
      <c r="AB203" s="40" t="str">
        <f>VLOOKUP(Таблица2[[#This Row],[Номер заказа]],[1]!Таблица1[#Data],MATCH("Валюта",[1]!Таблица1[#Headers],0),FALSE)</f>
        <v>руб.</v>
      </c>
      <c r="AC203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4" spans="1:29" ht="14.25" customHeight="1" x14ac:dyDescent="0.2">
      <c r="A204" s="33" t="s">
        <v>374</v>
      </c>
      <c r="B204" s="34">
        <v>1</v>
      </c>
      <c r="C204" s="35"/>
      <c r="D204" s="36" t="s">
        <v>375</v>
      </c>
      <c r="E204" s="37"/>
      <c r="F204" s="38">
        <v>4</v>
      </c>
      <c r="G204" s="39"/>
      <c r="H204" s="40" t="s">
        <v>35</v>
      </c>
      <c r="I204" s="39"/>
      <c r="J204" s="41">
        <v>60.17</v>
      </c>
      <c r="K204" s="41">
        <v>240.68</v>
      </c>
      <c r="L204" s="42">
        <v>0.2</v>
      </c>
      <c r="M204" s="41">
        <v>40.11</v>
      </c>
      <c r="N204" s="41">
        <v>240.68</v>
      </c>
      <c r="O204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200.57</v>
      </c>
      <c r="P204" s="39" t="s">
        <v>340</v>
      </c>
      <c r="Q204" s="35"/>
      <c r="R204" s="43" t="s">
        <v>376</v>
      </c>
      <c r="S204" s="43" t="s">
        <v>180</v>
      </c>
      <c r="T204" s="44"/>
      <c r="U204" s="37" t="s">
        <v>41</v>
      </c>
      <c r="V204" s="45"/>
      <c r="W204" s="39"/>
      <c r="X204" s="35" t="s">
        <v>41</v>
      </c>
      <c r="Y204" s="46" t="str">
        <f>VLOOKUP(Таблица2[[#This Row],[Номер заказа]],[1]!Таблица1[#Data],MATCH("Поставщик",[1]!Таблица1[#Headers],0),FALSE)</f>
        <v>УТК-СТАЛЬ ООО (ИНН 4706043243)</v>
      </c>
      <c r="Z204" s="39" t="s">
        <v>141</v>
      </c>
      <c r="AA204" s="47">
        <f>VLOOKUP(Таблица2[[#This Row],[Номер заказа]],[1]!Таблица1[#Data],MATCH("Дата",[1]!Таблица1[#Headers],0),FALSE)+0</f>
        <v>45841</v>
      </c>
      <c r="AB204" s="40" t="str">
        <f>VLOOKUP(Таблица2[[#This Row],[Номер заказа]],[1]!Таблица1[#Data],MATCH("Валюта",[1]!Таблица1[#Headers],0),FALSE)</f>
        <v>руб.</v>
      </c>
      <c r="AC204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5" spans="1:29" ht="14.25" customHeight="1" x14ac:dyDescent="0.2">
      <c r="A205" s="33" t="s">
        <v>374</v>
      </c>
      <c r="B205" s="34">
        <v>2</v>
      </c>
      <c r="C205" s="35"/>
      <c r="D205" s="36" t="s">
        <v>375</v>
      </c>
      <c r="E205" s="37"/>
      <c r="F205" s="38">
        <v>4</v>
      </c>
      <c r="G205" s="39"/>
      <c r="H205" s="40" t="s">
        <v>35</v>
      </c>
      <c r="I205" s="39"/>
      <c r="J205" s="41">
        <v>60.17</v>
      </c>
      <c r="K205" s="41">
        <v>240.68</v>
      </c>
      <c r="L205" s="42">
        <v>0.2</v>
      </c>
      <c r="M205" s="41">
        <v>40.11</v>
      </c>
      <c r="N205" s="41">
        <v>240.68</v>
      </c>
      <c r="O205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200.57</v>
      </c>
      <c r="P205" s="39" t="s">
        <v>340</v>
      </c>
      <c r="Q205" s="35"/>
      <c r="R205" s="43" t="s">
        <v>377</v>
      </c>
      <c r="S205" s="43" t="s">
        <v>172</v>
      </c>
      <c r="T205" s="44"/>
      <c r="U205" s="37" t="s">
        <v>41</v>
      </c>
      <c r="V205" s="45"/>
      <c r="W205" s="39"/>
      <c r="X205" s="35" t="s">
        <v>41</v>
      </c>
      <c r="Y205" s="46" t="str">
        <f>VLOOKUP(Таблица2[[#This Row],[Номер заказа]],[1]!Таблица1[#Data],MATCH("Поставщик",[1]!Таблица1[#Headers],0),FALSE)</f>
        <v>УТК-СТАЛЬ ООО (ИНН 4706043243)</v>
      </c>
      <c r="Z205" s="39" t="s">
        <v>141</v>
      </c>
      <c r="AA205" s="47">
        <f>VLOOKUP(Таблица2[[#This Row],[Номер заказа]],[1]!Таблица1[#Data],MATCH("Дата",[1]!Таблица1[#Headers],0),FALSE)+0</f>
        <v>45841</v>
      </c>
      <c r="AB205" s="40" t="str">
        <f>VLOOKUP(Таблица2[[#This Row],[Номер заказа]],[1]!Таблица1[#Data],MATCH("Валюта",[1]!Таблица1[#Headers],0),FALSE)</f>
        <v>руб.</v>
      </c>
      <c r="AC205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6" spans="1:29" ht="14.25" customHeight="1" x14ac:dyDescent="0.2">
      <c r="A206" s="33" t="s">
        <v>374</v>
      </c>
      <c r="B206" s="34">
        <v>3</v>
      </c>
      <c r="C206" s="35"/>
      <c r="D206" s="36" t="s">
        <v>375</v>
      </c>
      <c r="E206" s="37"/>
      <c r="F206" s="38">
        <v>4</v>
      </c>
      <c r="G206" s="39"/>
      <c r="H206" s="40" t="s">
        <v>35</v>
      </c>
      <c r="I206" s="39"/>
      <c r="J206" s="41">
        <v>60.17</v>
      </c>
      <c r="K206" s="41">
        <v>240.68</v>
      </c>
      <c r="L206" s="42">
        <v>0.2</v>
      </c>
      <c r="M206" s="41">
        <v>40.11</v>
      </c>
      <c r="N206" s="41">
        <v>240.68</v>
      </c>
      <c r="O206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200.57</v>
      </c>
      <c r="P206" s="39" t="s">
        <v>340</v>
      </c>
      <c r="Q206" s="35"/>
      <c r="R206" s="43" t="s">
        <v>378</v>
      </c>
      <c r="S206" s="43" t="s">
        <v>178</v>
      </c>
      <c r="T206" s="44"/>
      <c r="U206" s="37" t="s">
        <v>41</v>
      </c>
      <c r="V206" s="45"/>
      <c r="W206" s="39"/>
      <c r="X206" s="35" t="s">
        <v>41</v>
      </c>
      <c r="Y206" s="46" t="str">
        <f>VLOOKUP(Таблица2[[#This Row],[Номер заказа]],[1]!Таблица1[#Data],MATCH("Поставщик",[1]!Таблица1[#Headers],0),FALSE)</f>
        <v>УТК-СТАЛЬ ООО (ИНН 4706043243)</v>
      </c>
      <c r="Z206" s="39" t="s">
        <v>141</v>
      </c>
      <c r="AA206" s="47">
        <f>VLOOKUP(Таблица2[[#This Row],[Номер заказа]],[1]!Таблица1[#Data],MATCH("Дата",[1]!Таблица1[#Headers],0),FALSE)+0</f>
        <v>45841</v>
      </c>
      <c r="AB206" s="40" t="str">
        <f>VLOOKUP(Таблица2[[#This Row],[Номер заказа]],[1]!Таблица1[#Data],MATCH("Валюта",[1]!Таблица1[#Headers],0),FALSE)</f>
        <v>руб.</v>
      </c>
      <c r="AC206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7" spans="1:29" ht="14.25" customHeight="1" x14ac:dyDescent="0.2">
      <c r="A207" s="33" t="s">
        <v>374</v>
      </c>
      <c r="B207" s="34">
        <v>4</v>
      </c>
      <c r="C207" s="35"/>
      <c r="D207" s="36" t="s">
        <v>375</v>
      </c>
      <c r="E207" s="37"/>
      <c r="F207" s="38">
        <v>8</v>
      </c>
      <c r="G207" s="39"/>
      <c r="H207" s="40" t="s">
        <v>35</v>
      </c>
      <c r="I207" s="39"/>
      <c r="J207" s="41">
        <v>60.17</v>
      </c>
      <c r="K207" s="41">
        <v>481.36</v>
      </c>
      <c r="L207" s="42">
        <v>0.2</v>
      </c>
      <c r="M207" s="41">
        <v>80.23</v>
      </c>
      <c r="N207" s="41">
        <v>481.36</v>
      </c>
      <c r="O207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401.13</v>
      </c>
      <c r="P207" s="39" t="s">
        <v>340</v>
      </c>
      <c r="Q207" s="35"/>
      <c r="R207" s="43" t="s">
        <v>379</v>
      </c>
      <c r="S207" s="43" t="s">
        <v>182</v>
      </c>
      <c r="T207" s="44"/>
      <c r="U207" s="37" t="s">
        <v>41</v>
      </c>
      <c r="V207" s="45"/>
      <c r="W207" s="39"/>
      <c r="X207" s="35" t="s">
        <v>41</v>
      </c>
      <c r="Y207" s="46" t="str">
        <f>VLOOKUP(Таблица2[[#This Row],[Номер заказа]],[1]!Таблица1[#Data],MATCH("Поставщик",[1]!Таблица1[#Headers],0),FALSE)</f>
        <v>УТК-СТАЛЬ ООО (ИНН 4706043243)</v>
      </c>
      <c r="Z207" s="39" t="s">
        <v>141</v>
      </c>
      <c r="AA207" s="47">
        <f>VLOOKUP(Таблица2[[#This Row],[Номер заказа]],[1]!Таблица1[#Data],MATCH("Дата",[1]!Таблица1[#Headers],0),FALSE)+0</f>
        <v>45841</v>
      </c>
      <c r="AB207" s="40" t="str">
        <f>VLOOKUP(Таблица2[[#This Row],[Номер заказа]],[1]!Таблица1[#Data],MATCH("Валюта",[1]!Таблица1[#Headers],0),FALSE)</f>
        <v>руб.</v>
      </c>
      <c r="AC207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8" spans="1:29" ht="14.25" customHeight="1" x14ac:dyDescent="0.2">
      <c r="A208" s="33" t="s">
        <v>380</v>
      </c>
      <c r="B208" s="34">
        <v>1</v>
      </c>
      <c r="C208" s="35"/>
      <c r="D208" s="36" t="s">
        <v>381</v>
      </c>
      <c r="E208" s="37"/>
      <c r="F208" s="38">
        <v>1</v>
      </c>
      <c r="G208" s="39"/>
      <c r="H208" s="40" t="s">
        <v>35</v>
      </c>
      <c r="I208" s="39"/>
      <c r="J208" s="41">
        <v>876</v>
      </c>
      <c r="K208" s="41">
        <v>876</v>
      </c>
      <c r="L208" s="42">
        <v>0.2</v>
      </c>
      <c r="M208" s="41">
        <v>146</v>
      </c>
      <c r="N208" s="41">
        <v>876</v>
      </c>
      <c r="O208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730</v>
      </c>
      <c r="P208" s="39" t="s">
        <v>340</v>
      </c>
      <c r="Q208" s="35" t="s">
        <v>341</v>
      </c>
      <c r="R208" s="43" t="s">
        <v>373</v>
      </c>
      <c r="S208" s="43" t="s">
        <v>172</v>
      </c>
      <c r="T208" s="44" t="s">
        <v>343</v>
      </c>
      <c r="U208" s="37" t="s">
        <v>41</v>
      </c>
      <c r="V208" s="45"/>
      <c r="W208" s="39"/>
      <c r="X208" s="35" t="s">
        <v>41</v>
      </c>
      <c r="Y208" s="46" t="str">
        <f>VLOOKUP(Таблица2[[#This Row],[Номер заказа]],[1]!Таблица1[#Data],MATCH("Поставщик",[1]!Таблица1[#Headers],0),FALSE)</f>
        <v>ВСЕИНСТРУМЕНТЫ.РУ ООО</v>
      </c>
      <c r="Z208" s="39" t="s">
        <v>141</v>
      </c>
      <c r="AA208" s="47">
        <f>VLOOKUP(Таблица2[[#This Row],[Номер заказа]],[1]!Таблица1[#Data],MATCH("Дата",[1]!Таблица1[#Headers],0),FALSE)+0</f>
        <v>45847</v>
      </c>
      <c r="AB208" s="40" t="str">
        <f>VLOOKUP(Таблица2[[#This Row],[Номер заказа]],[1]!Таблица1[#Data],MATCH("Валюта",[1]!Таблица1[#Headers],0),FALSE)</f>
        <v>руб.</v>
      </c>
      <c r="AC208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09" spans="1:29" ht="14.25" customHeight="1" x14ac:dyDescent="0.2">
      <c r="A209" s="33" t="s">
        <v>380</v>
      </c>
      <c r="B209" s="34">
        <v>2</v>
      </c>
      <c r="C209" s="35"/>
      <c r="D209" s="36" t="s">
        <v>382</v>
      </c>
      <c r="E209" s="37"/>
      <c r="F209" s="38">
        <v>1</v>
      </c>
      <c r="G209" s="39"/>
      <c r="H209" s="40" t="s">
        <v>35</v>
      </c>
      <c r="I209" s="39"/>
      <c r="J209" s="41">
        <v>1261</v>
      </c>
      <c r="K209" s="41">
        <v>1261</v>
      </c>
      <c r="L209" s="42">
        <v>0.2</v>
      </c>
      <c r="M209" s="41">
        <v>210.17</v>
      </c>
      <c r="N209" s="41">
        <v>1261</v>
      </c>
      <c r="O209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1050.83</v>
      </c>
      <c r="P209" s="39" t="s">
        <v>340</v>
      </c>
      <c r="Q209" s="35" t="s">
        <v>341</v>
      </c>
      <c r="R209" s="43" t="s">
        <v>373</v>
      </c>
      <c r="S209" s="43" t="s">
        <v>172</v>
      </c>
      <c r="T209" s="44" t="s">
        <v>343</v>
      </c>
      <c r="U209" s="37" t="s">
        <v>41</v>
      </c>
      <c r="V209" s="45"/>
      <c r="W209" s="39"/>
      <c r="X209" s="35" t="s">
        <v>41</v>
      </c>
      <c r="Y209" s="46" t="str">
        <f>VLOOKUP(Таблица2[[#This Row],[Номер заказа]],[1]!Таблица1[#Data],MATCH("Поставщик",[1]!Таблица1[#Headers],0),FALSE)</f>
        <v>ВСЕИНСТРУМЕНТЫ.РУ ООО</v>
      </c>
      <c r="Z209" s="39" t="s">
        <v>141</v>
      </c>
      <c r="AA209" s="47">
        <f>VLOOKUP(Таблица2[[#This Row],[Номер заказа]],[1]!Таблица1[#Data],MATCH("Дата",[1]!Таблица1[#Headers],0),FALSE)+0</f>
        <v>45847</v>
      </c>
      <c r="AB209" s="40" t="str">
        <f>VLOOKUP(Таблица2[[#This Row],[Номер заказа]],[1]!Таблица1[#Data],MATCH("Валюта",[1]!Таблица1[#Headers],0),FALSE)</f>
        <v>руб.</v>
      </c>
      <c r="AC209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0" spans="1:29" ht="14.25" customHeight="1" x14ac:dyDescent="0.2">
      <c r="A210" s="33" t="s">
        <v>380</v>
      </c>
      <c r="B210" s="34">
        <v>3</v>
      </c>
      <c r="C210" s="35"/>
      <c r="D210" s="36" t="s">
        <v>383</v>
      </c>
      <c r="E210" s="37"/>
      <c r="F210" s="38">
        <v>2</v>
      </c>
      <c r="G210" s="39"/>
      <c r="H210" s="40" t="s">
        <v>35</v>
      </c>
      <c r="I210" s="39"/>
      <c r="J210" s="41">
        <v>363</v>
      </c>
      <c r="K210" s="41">
        <v>726</v>
      </c>
      <c r="L210" s="42">
        <v>0.2</v>
      </c>
      <c r="M210" s="41">
        <v>121</v>
      </c>
      <c r="N210" s="41">
        <v>726</v>
      </c>
      <c r="O210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605</v>
      </c>
      <c r="P210" s="39" t="s">
        <v>340</v>
      </c>
      <c r="Q210" s="35" t="s">
        <v>341</v>
      </c>
      <c r="R210" s="43" t="s">
        <v>373</v>
      </c>
      <c r="S210" s="43" t="s">
        <v>172</v>
      </c>
      <c r="T210" s="44" t="s">
        <v>343</v>
      </c>
      <c r="U210" s="37" t="s">
        <v>41</v>
      </c>
      <c r="V210" s="45"/>
      <c r="W210" s="39"/>
      <c r="X210" s="35" t="s">
        <v>41</v>
      </c>
      <c r="Y210" s="46" t="str">
        <f>VLOOKUP(Таблица2[[#This Row],[Номер заказа]],[1]!Таблица1[#Data],MATCH("Поставщик",[1]!Таблица1[#Headers],0),FALSE)</f>
        <v>ВСЕИНСТРУМЕНТЫ.РУ ООО</v>
      </c>
      <c r="Z210" s="39" t="s">
        <v>141</v>
      </c>
      <c r="AA210" s="47">
        <f>VLOOKUP(Таблица2[[#This Row],[Номер заказа]],[1]!Таблица1[#Data],MATCH("Дата",[1]!Таблица1[#Headers],0),FALSE)+0</f>
        <v>45847</v>
      </c>
      <c r="AB210" s="40" t="str">
        <f>VLOOKUP(Таблица2[[#This Row],[Номер заказа]],[1]!Таблица1[#Data],MATCH("Валюта",[1]!Таблица1[#Headers],0),FALSE)</f>
        <v>руб.</v>
      </c>
      <c r="AC210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1" spans="1:29" ht="14.25" customHeight="1" x14ac:dyDescent="0.2">
      <c r="A211" s="33" t="s">
        <v>380</v>
      </c>
      <c r="B211" s="34">
        <v>4</v>
      </c>
      <c r="C211" s="35"/>
      <c r="D211" s="36" t="s">
        <v>384</v>
      </c>
      <c r="E211" s="37"/>
      <c r="F211" s="38">
        <v>1</v>
      </c>
      <c r="G211" s="39"/>
      <c r="H211" s="40" t="s">
        <v>35</v>
      </c>
      <c r="I211" s="39"/>
      <c r="J211" s="41">
        <v>46</v>
      </c>
      <c r="K211" s="41">
        <v>46</v>
      </c>
      <c r="L211" s="42">
        <v>0.2</v>
      </c>
      <c r="M211" s="41">
        <v>7.67</v>
      </c>
      <c r="N211" s="41">
        <v>46</v>
      </c>
      <c r="O211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38.33</v>
      </c>
      <c r="P211" s="39" t="s">
        <v>340</v>
      </c>
      <c r="Q211" s="35" t="s">
        <v>341</v>
      </c>
      <c r="R211" s="43" t="s">
        <v>373</v>
      </c>
      <c r="S211" s="43" t="s">
        <v>172</v>
      </c>
      <c r="T211" s="44" t="s">
        <v>343</v>
      </c>
      <c r="U211" s="37" t="s">
        <v>41</v>
      </c>
      <c r="V211" s="45"/>
      <c r="W211" s="39"/>
      <c r="X211" s="35" t="s">
        <v>41</v>
      </c>
      <c r="Y211" s="46" t="str">
        <f>VLOOKUP(Таблица2[[#This Row],[Номер заказа]],[1]!Таблица1[#Data],MATCH("Поставщик",[1]!Таблица1[#Headers],0),FALSE)</f>
        <v>ВСЕИНСТРУМЕНТЫ.РУ ООО</v>
      </c>
      <c r="Z211" s="39" t="s">
        <v>141</v>
      </c>
      <c r="AA211" s="47">
        <f>VLOOKUP(Таблица2[[#This Row],[Номер заказа]],[1]!Таблица1[#Data],MATCH("Дата",[1]!Таблица1[#Headers],0),FALSE)+0</f>
        <v>45847</v>
      </c>
      <c r="AB211" s="40" t="str">
        <f>VLOOKUP(Таблица2[[#This Row],[Номер заказа]],[1]!Таблица1[#Data],MATCH("Валюта",[1]!Таблица1[#Headers],0),FALSE)</f>
        <v>руб.</v>
      </c>
      <c r="AC211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2" spans="1:29" ht="14.25" customHeight="1" x14ac:dyDescent="0.2">
      <c r="A212" s="33" t="s">
        <v>385</v>
      </c>
      <c r="B212" s="34">
        <v>1</v>
      </c>
      <c r="C212" s="35"/>
      <c r="D212" s="36" t="s">
        <v>386</v>
      </c>
      <c r="E212" s="37"/>
      <c r="F212" s="38">
        <v>16</v>
      </c>
      <c r="G212" s="39"/>
      <c r="H212" s="40" t="s">
        <v>35</v>
      </c>
      <c r="I212" s="39"/>
      <c r="J212" s="41">
        <v>2640</v>
      </c>
      <c r="K212" s="41">
        <v>42240</v>
      </c>
      <c r="L212" s="42">
        <v>0.2</v>
      </c>
      <c r="M212" s="41">
        <v>7040</v>
      </c>
      <c r="N212" s="41">
        <v>42240</v>
      </c>
      <c r="O212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35200</v>
      </c>
      <c r="P212" s="39" t="s">
        <v>340</v>
      </c>
      <c r="Q212" s="35"/>
      <c r="R212" s="43" t="s">
        <v>387</v>
      </c>
      <c r="S212" s="43" t="s">
        <v>172</v>
      </c>
      <c r="T212" s="44"/>
      <c r="U212" s="37" t="s">
        <v>41</v>
      </c>
      <c r="V212" s="45"/>
      <c r="W212" s="39"/>
      <c r="X212" s="35" t="s">
        <v>41</v>
      </c>
      <c r="Y212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2" s="39" t="s">
        <v>141</v>
      </c>
      <c r="AA212" s="47">
        <f>VLOOKUP(Таблица2[[#This Row],[Номер заказа]],[1]!Таблица1[#Data],MATCH("Дата",[1]!Таблица1[#Headers],0),FALSE)+0</f>
        <v>45828</v>
      </c>
      <c r="AB212" s="40" t="str">
        <f>VLOOKUP(Таблица2[[#This Row],[Номер заказа]],[1]!Таблица1[#Data],MATCH("Валюта",[1]!Таблица1[#Headers],0),FALSE)</f>
        <v>руб.</v>
      </c>
      <c r="AC212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3" spans="1:29" ht="14.25" customHeight="1" x14ac:dyDescent="0.2">
      <c r="A213" s="33" t="s">
        <v>385</v>
      </c>
      <c r="B213" s="34">
        <v>2</v>
      </c>
      <c r="C213" s="35"/>
      <c r="D213" s="36" t="s">
        <v>386</v>
      </c>
      <c r="E213" s="37"/>
      <c r="F213" s="38">
        <v>8</v>
      </c>
      <c r="G213" s="39"/>
      <c r="H213" s="40" t="s">
        <v>35</v>
      </c>
      <c r="I213" s="39"/>
      <c r="J213" s="41">
        <v>2640</v>
      </c>
      <c r="K213" s="41">
        <v>21120</v>
      </c>
      <c r="L213" s="42">
        <v>0.2</v>
      </c>
      <c r="M213" s="41">
        <v>3520</v>
      </c>
      <c r="N213" s="41">
        <v>21120</v>
      </c>
      <c r="O213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17600</v>
      </c>
      <c r="P213" s="39" t="s">
        <v>340</v>
      </c>
      <c r="Q213" s="35"/>
      <c r="R213" s="43" t="s">
        <v>370</v>
      </c>
      <c r="S213" s="43" t="s">
        <v>182</v>
      </c>
      <c r="T213" s="44"/>
      <c r="U213" s="37" t="s">
        <v>41</v>
      </c>
      <c r="V213" s="45"/>
      <c r="W213" s="39"/>
      <c r="X213" s="35" t="s">
        <v>41</v>
      </c>
      <c r="Y213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3" s="39" t="s">
        <v>141</v>
      </c>
      <c r="AA213" s="47">
        <f>VLOOKUP(Таблица2[[#This Row],[Номер заказа]],[1]!Таблица1[#Data],MATCH("Дата",[1]!Таблица1[#Headers],0),FALSE)+0</f>
        <v>45828</v>
      </c>
      <c r="AB213" s="40" t="str">
        <f>VLOOKUP(Таблица2[[#This Row],[Номер заказа]],[1]!Таблица1[#Data],MATCH("Валюта",[1]!Таблица1[#Headers],0),FALSE)</f>
        <v>руб.</v>
      </c>
      <c r="AC213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4" spans="1:29" ht="14.25" customHeight="1" x14ac:dyDescent="0.2">
      <c r="A214" s="33" t="s">
        <v>385</v>
      </c>
      <c r="B214" s="34">
        <v>3</v>
      </c>
      <c r="C214" s="35"/>
      <c r="D214" s="36" t="s">
        <v>386</v>
      </c>
      <c r="E214" s="37"/>
      <c r="F214" s="38">
        <v>4</v>
      </c>
      <c r="G214" s="39"/>
      <c r="H214" s="40" t="s">
        <v>35</v>
      </c>
      <c r="I214" s="39"/>
      <c r="J214" s="41">
        <v>2640</v>
      </c>
      <c r="K214" s="41">
        <v>10560</v>
      </c>
      <c r="L214" s="42">
        <v>0.2</v>
      </c>
      <c r="M214" s="41">
        <v>1760</v>
      </c>
      <c r="N214" s="41">
        <v>10560</v>
      </c>
      <c r="O214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8800</v>
      </c>
      <c r="P214" s="39" t="s">
        <v>340</v>
      </c>
      <c r="Q214" s="35"/>
      <c r="R214" s="43" t="s">
        <v>365</v>
      </c>
      <c r="S214" s="43" t="s">
        <v>178</v>
      </c>
      <c r="T214" s="44"/>
      <c r="U214" s="37" t="s">
        <v>41</v>
      </c>
      <c r="V214" s="45"/>
      <c r="W214" s="39"/>
      <c r="X214" s="35" t="s">
        <v>41</v>
      </c>
      <c r="Y214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4" s="39" t="s">
        <v>141</v>
      </c>
      <c r="AA214" s="47">
        <f>VLOOKUP(Таблица2[[#This Row],[Номер заказа]],[1]!Таблица1[#Data],MATCH("Дата",[1]!Таблица1[#Headers],0),FALSE)+0</f>
        <v>45828</v>
      </c>
      <c r="AB214" s="40" t="str">
        <f>VLOOKUP(Таблица2[[#This Row],[Номер заказа]],[1]!Таблица1[#Data],MATCH("Валюта",[1]!Таблица1[#Headers],0),FALSE)</f>
        <v>руб.</v>
      </c>
      <c r="AC214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5" spans="1:29" ht="14.25" customHeight="1" x14ac:dyDescent="0.2">
      <c r="A215" s="33" t="s">
        <v>385</v>
      </c>
      <c r="B215" s="34">
        <v>4</v>
      </c>
      <c r="C215" s="35"/>
      <c r="D215" s="36" t="s">
        <v>386</v>
      </c>
      <c r="E215" s="37"/>
      <c r="F215" s="38">
        <v>4</v>
      </c>
      <c r="G215" s="39"/>
      <c r="H215" s="40" t="s">
        <v>35</v>
      </c>
      <c r="I215" s="39"/>
      <c r="J215" s="41">
        <v>2640</v>
      </c>
      <c r="K215" s="41">
        <v>10560</v>
      </c>
      <c r="L215" s="42">
        <v>0.2</v>
      </c>
      <c r="M215" s="41">
        <v>1760</v>
      </c>
      <c r="N215" s="41">
        <v>10560</v>
      </c>
      <c r="O215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8800</v>
      </c>
      <c r="P215" s="39" t="s">
        <v>340</v>
      </c>
      <c r="Q215" s="35"/>
      <c r="R215" s="43" t="s">
        <v>369</v>
      </c>
      <c r="S215" s="43" t="s">
        <v>180</v>
      </c>
      <c r="T215" s="44"/>
      <c r="U215" s="37" t="s">
        <v>41</v>
      </c>
      <c r="V215" s="45"/>
      <c r="W215" s="39"/>
      <c r="X215" s="35" t="s">
        <v>41</v>
      </c>
      <c r="Y215" s="46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5" s="39" t="s">
        <v>141</v>
      </c>
      <c r="AA215" s="47">
        <f>VLOOKUP(Таблица2[[#This Row],[Номер заказа]],[1]!Таблица1[#Data],MATCH("Дата",[1]!Таблица1[#Headers],0),FALSE)+0</f>
        <v>45828</v>
      </c>
      <c r="AB215" s="40" t="str">
        <f>VLOOKUP(Таблица2[[#This Row],[Номер заказа]],[1]!Таблица1[#Data],MATCH("Валюта",[1]!Таблица1[#Headers],0),FALSE)</f>
        <v>руб.</v>
      </c>
      <c r="AC215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6" spans="1:29" ht="14.25" customHeight="1" x14ac:dyDescent="0.2">
      <c r="A216" s="33" t="s">
        <v>388</v>
      </c>
      <c r="B216" s="34">
        <v>1</v>
      </c>
      <c r="C216" s="35"/>
      <c r="D216" s="36" t="s">
        <v>389</v>
      </c>
      <c r="E216" s="37"/>
      <c r="F216" s="38">
        <v>100</v>
      </c>
      <c r="G216" s="39"/>
      <c r="H216" s="40" t="s">
        <v>35</v>
      </c>
      <c r="I216" s="39"/>
      <c r="J216" s="41">
        <v>15</v>
      </c>
      <c r="K216" s="41">
        <v>1500</v>
      </c>
      <c r="L216" s="42">
        <v>0.2</v>
      </c>
      <c r="M216" s="41">
        <v>250</v>
      </c>
      <c r="N216" s="41">
        <v>1500</v>
      </c>
      <c r="O216" s="41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1250</v>
      </c>
      <c r="P216" s="39" t="s">
        <v>340</v>
      </c>
      <c r="Q216" s="35" t="s">
        <v>341</v>
      </c>
      <c r="R216" s="43" t="s">
        <v>373</v>
      </c>
      <c r="S216" s="43" t="s">
        <v>172</v>
      </c>
      <c r="T216" s="44" t="s">
        <v>343</v>
      </c>
      <c r="U216" s="37" t="s">
        <v>41</v>
      </c>
      <c r="V216" s="45"/>
      <c r="W216" s="45" t="s">
        <v>390</v>
      </c>
      <c r="X216" s="35" t="s">
        <v>47</v>
      </c>
      <c r="Y216" s="46" t="str">
        <f>VLOOKUP(Таблица2[[#This Row],[Номер заказа]],[1]!Таблица1[#Data],MATCH("Поставщик",[1]!Таблица1[#Headers],0),FALSE)</f>
        <v>РК-КОПИ ООО</v>
      </c>
      <c r="Z216" s="39" t="s">
        <v>141</v>
      </c>
      <c r="AA216" s="47">
        <f>VLOOKUP(Таблица2[[#This Row],[Номер заказа]],[1]!Таблица1[#Data],MATCH("Дата",[1]!Таблица1[#Headers],0),FALSE)+0</f>
        <v>45861</v>
      </c>
      <c r="AB216" s="40" t="str">
        <f>VLOOKUP(Таблица2[[#This Row],[Номер заказа]],[1]!Таблица1[#Data],MATCH("Валюта",[1]!Таблица1[#Headers],0),FALSE)</f>
        <v>руб.</v>
      </c>
      <c r="AC216" s="40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7" spans="1:29" ht="14.25" customHeight="1" x14ac:dyDescent="0.2">
      <c r="A217" s="49" t="s">
        <v>391</v>
      </c>
      <c r="B217" s="50">
        <v>1</v>
      </c>
      <c r="C217" s="51"/>
      <c r="D217" s="52" t="s">
        <v>364</v>
      </c>
      <c r="E217" s="53"/>
      <c r="F217" s="54">
        <v>8</v>
      </c>
      <c r="G217" s="55"/>
      <c r="H217" s="56" t="s">
        <v>35</v>
      </c>
      <c r="I217" s="55"/>
      <c r="J217" s="57">
        <v>22800</v>
      </c>
      <c r="K217" s="57">
        <v>182400</v>
      </c>
      <c r="L217" s="58">
        <v>0.2</v>
      </c>
      <c r="M217" s="57">
        <v>30400</v>
      </c>
      <c r="N217" s="57">
        <v>182400</v>
      </c>
      <c r="O21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152000</v>
      </c>
      <c r="P217" s="55" t="s">
        <v>340</v>
      </c>
      <c r="Q217" s="51"/>
      <c r="R217" s="59" t="s">
        <v>392</v>
      </c>
      <c r="S217" s="60" t="s">
        <v>180</v>
      </c>
      <c r="T217" s="53"/>
      <c r="U217" s="55" t="s">
        <v>41</v>
      </c>
      <c r="V217" s="61"/>
      <c r="W217" s="55"/>
      <c r="X217" s="55" t="s">
        <v>41</v>
      </c>
      <c r="Y217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7" s="55" t="s">
        <v>141</v>
      </c>
      <c r="AA217" s="63">
        <f>VLOOKUP(Таблица2[[#This Row],[Номер заказа]],[1]!Таблица1[#Data],MATCH("Дата",[1]!Таблица1[#Headers],0),FALSE)+0</f>
        <v>45730</v>
      </c>
      <c r="AB217" s="56" t="str">
        <f>VLOOKUP(Таблица2[[#This Row],[Номер заказа]],[1]!Таблица1[#Data],MATCH("Валюта",[1]!Таблица1[#Headers],0),FALSE)</f>
        <v>руб.</v>
      </c>
      <c r="AC21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8" spans="1:29" ht="14.25" customHeight="1" x14ac:dyDescent="0.2">
      <c r="A218" s="49" t="s">
        <v>391</v>
      </c>
      <c r="B218" s="50">
        <v>2</v>
      </c>
      <c r="C218" s="51"/>
      <c r="D218" s="52" t="s">
        <v>393</v>
      </c>
      <c r="E218" s="53"/>
      <c r="F218" s="54">
        <v>4</v>
      </c>
      <c r="G218" s="55"/>
      <c r="H218" s="56" t="s">
        <v>35</v>
      </c>
      <c r="I218" s="55"/>
      <c r="J218" s="57">
        <v>22800</v>
      </c>
      <c r="K218" s="57">
        <v>91200</v>
      </c>
      <c r="L218" s="58">
        <v>0.2</v>
      </c>
      <c r="M218" s="57">
        <v>15200</v>
      </c>
      <c r="N218" s="57">
        <v>91200</v>
      </c>
      <c r="O218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76000</v>
      </c>
      <c r="P218" s="55" t="s">
        <v>340</v>
      </c>
      <c r="Q218" s="51"/>
      <c r="R218" s="59" t="s">
        <v>394</v>
      </c>
      <c r="S218" s="60" t="s">
        <v>172</v>
      </c>
      <c r="T218" s="53"/>
      <c r="U218" s="55" t="s">
        <v>41</v>
      </c>
      <c r="V218" s="61"/>
      <c r="W218" s="55"/>
      <c r="X218" s="55" t="s">
        <v>41</v>
      </c>
      <c r="Y218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8" s="55" t="s">
        <v>141</v>
      </c>
      <c r="AA218" s="63">
        <f>VLOOKUP(Таблица2[[#This Row],[Номер заказа]],[1]!Таблица1[#Data],MATCH("Дата",[1]!Таблица1[#Headers],0),FALSE)+0</f>
        <v>45730</v>
      </c>
      <c r="AB218" s="56" t="str">
        <f>VLOOKUP(Таблица2[[#This Row],[Номер заказа]],[1]!Таблица1[#Data],MATCH("Валюта",[1]!Таблица1[#Headers],0),FALSE)</f>
        <v>руб.</v>
      </c>
      <c r="AC21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19" spans="1:29" ht="14.25" customHeight="1" x14ac:dyDescent="0.2">
      <c r="A219" s="49" t="s">
        <v>391</v>
      </c>
      <c r="B219" s="50">
        <v>3</v>
      </c>
      <c r="C219" s="51"/>
      <c r="D219" s="52" t="s">
        <v>395</v>
      </c>
      <c r="E219" s="53"/>
      <c r="F219" s="54">
        <v>4</v>
      </c>
      <c r="G219" s="55"/>
      <c r="H219" s="56" t="s">
        <v>35</v>
      </c>
      <c r="I219" s="55"/>
      <c r="J219" s="57">
        <v>18000</v>
      </c>
      <c r="K219" s="57">
        <v>72000</v>
      </c>
      <c r="L219" s="58">
        <v>0.2</v>
      </c>
      <c r="M219" s="57">
        <v>12000</v>
      </c>
      <c r="N219" s="57">
        <v>72000</v>
      </c>
      <c r="O219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60000</v>
      </c>
      <c r="P219" s="55" t="s">
        <v>340</v>
      </c>
      <c r="Q219" s="51"/>
      <c r="R219" s="59" t="s">
        <v>394</v>
      </c>
      <c r="S219" s="60" t="s">
        <v>172</v>
      </c>
      <c r="T219" s="53"/>
      <c r="U219" s="55" t="s">
        <v>41</v>
      </c>
      <c r="V219" s="61"/>
      <c r="W219" s="55"/>
      <c r="X219" s="55" t="s">
        <v>41</v>
      </c>
      <c r="Y219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19" s="55" t="s">
        <v>141</v>
      </c>
      <c r="AA219" s="63">
        <f>VLOOKUP(Таблица2[[#This Row],[Номер заказа]],[1]!Таблица1[#Data],MATCH("Дата",[1]!Таблица1[#Headers],0),FALSE)+0</f>
        <v>45730</v>
      </c>
      <c r="AB219" s="56" t="str">
        <f>VLOOKUP(Таблица2[[#This Row],[Номер заказа]],[1]!Таблица1[#Data],MATCH("Валюта",[1]!Таблица1[#Headers],0),FALSE)</f>
        <v>руб.</v>
      </c>
      <c r="AC219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0" spans="1:29" ht="14.25" customHeight="1" x14ac:dyDescent="0.2">
      <c r="A220" s="49" t="s">
        <v>391</v>
      </c>
      <c r="B220" s="50">
        <v>4</v>
      </c>
      <c r="C220" s="51"/>
      <c r="D220" s="52" t="s">
        <v>396</v>
      </c>
      <c r="E220" s="53"/>
      <c r="F220" s="54">
        <v>2</v>
      </c>
      <c r="G220" s="55"/>
      <c r="H220" s="56" t="s">
        <v>35</v>
      </c>
      <c r="I220" s="55"/>
      <c r="J220" s="57">
        <v>18000</v>
      </c>
      <c r="K220" s="57">
        <v>36000</v>
      </c>
      <c r="L220" s="58">
        <v>0.2</v>
      </c>
      <c r="M220" s="57">
        <v>6000</v>
      </c>
      <c r="N220" s="57">
        <v>36000</v>
      </c>
      <c r="O220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20" s="55" t="s">
        <v>340</v>
      </c>
      <c r="Q220" s="51"/>
      <c r="R220" s="59" t="s">
        <v>394</v>
      </c>
      <c r="S220" s="60" t="s">
        <v>172</v>
      </c>
      <c r="T220" s="53"/>
      <c r="U220" s="55" t="s">
        <v>41</v>
      </c>
      <c r="V220" s="61"/>
      <c r="W220" s="55"/>
      <c r="X220" s="55" t="s">
        <v>41</v>
      </c>
      <c r="Y220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0" s="55" t="s">
        <v>141</v>
      </c>
      <c r="AA220" s="63">
        <f>VLOOKUP(Таблица2[[#This Row],[Номер заказа]],[1]!Таблица1[#Data],MATCH("Дата",[1]!Таблица1[#Headers],0),FALSE)+0</f>
        <v>45730</v>
      </c>
      <c r="AB220" s="56" t="str">
        <f>VLOOKUP(Таблица2[[#This Row],[Номер заказа]],[1]!Таблица1[#Data],MATCH("Валюта",[1]!Таблица1[#Headers],0),FALSE)</f>
        <v>руб.</v>
      </c>
      <c r="AC220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1" spans="1:29" ht="14.25" customHeight="1" x14ac:dyDescent="0.2">
      <c r="A221" s="49" t="s">
        <v>391</v>
      </c>
      <c r="B221" s="50">
        <v>5</v>
      </c>
      <c r="C221" s="51"/>
      <c r="D221" s="52" t="s">
        <v>397</v>
      </c>
      <c r="E221" s="53"/>
      <c r="F221" s="54">
        <v>2</v>
      </c>
      <c r="G221" s="55"/>
      <c r="H221" s="56" t="s">
        <v>35</v>
      </c>
      <c r="I221" s="55"/>
      <c r="J221" s="57">
        <v>18000</v>
      </c>
      <c r="K221" s="57">
        <v>36000</v>
      </c>
      <c r="L221" s="58">
        <v>0.2</v>
      </c>
      <c r="M221" s="57">
        <v>6000</v>
      </c>
      <c r="N221" s="57">
        <v>36000</v>
      </c>
      <c r="O221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21" s="55" t="s">
        <v>340</v>
      </c>
      <c r="Q221" s="51"/>
      <c r="R221" s="59" t="s">
        <v>394</v>
      </c>
      <c r="S221" s="60" t="s">
        <v>172</v>
      </c>
      <c r="T221" s="53"/>
      <c r="U221" s="55" t="s">
        <v>41</v>
      </c>
      <c r="V221" s="61"/>
      <c r="W221" s="55"/>
      <c r="X221" s="55" t="s">
        <v>41</v>
      </c>
      <c r="Y221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1" s="55" t="s">
        <v>141</v>
      </c>
      <c r="AA221" s="63">
        <f>VLOOKUP(Таблица2[[#This Row],[Номер заказа]],[1]!Таблица1[#Data],MATCH("Дата",[1]!Таблица1[#Headers],0),FALSE)+0</f>
        <v>45730</v>
      </c>
      <c r="AB221" s="56" t="str">
        <f>VLOOKUP(Таблица2[[#This Row],[Номер заказа]],[1]!Таблица1[#Data],MATCH("Валюта",[1]!Таблица1[#Headers],0),FALSE)</f>
        <v>руб.</v>
      </c>
      <c r="AC221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2" spans="1:29" ht="14.25" customHeight="1" x14ac:dyDescent="0.2">
      <c r="A222" s="49" t="s">
        <v>391</v>
      </c>
      <c r="B222" s="50">
        <v>6</v>
      </c>
      <c r="C222" s="51"/>
      <c r="D222" s="52" t="s">
        <v>398</v>
      </c>
      <c r="E222" s="53"/>
      <c r="F222" s="54">
        <v>40</v>
      </c>
      <c r="G222" s="55"/>
      <c r="H222" s="56" t="s">
        <v>35</v>
      </c>
      <c r="I222" s="55"/>
      <c r="J222" s="57">
        <v>27600</v>
      </c>
      <c r="K222" s="57">
        <v>1104000</v>
      </c>
      <c r="L222" s="58">
        <v>0.2</v>
      </c>
      <c r="M222" s="57">
        <v>184000</v>
      </c>
      <c r="N222" s="57">
        <v>1104000</v>
      </c>
      <c r="O222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920000</v>
      </c>
      <c r="P222" s="55" t="s">
        <v>340</v>
      </c>
      <c r="Q222" s="51"/>
      <c r="R222" s="59" t="s">
        <v>394</v>
      </c>
      <c r="S222" s="60" t="s">
        <v>172</v>
      </c>
      <c r="T222" s="53"/>
      <c r="U222" s="55" t="s">
        <v>41</v>
      </c>
      <c r="V222" s="61"/>
      <c r="W222" s="55"/>
      <c r="X222" s="55" t="s">
        <v>41</v>
      </c>
      <c r="Y222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2" s="55" t="s">
        <v>141</v>
      </c>
      <c r="AA222" s="63">
        <f>VLOOKUP(Таблица2[[#This Row],[Номер заказа]],[1]!Таблица1[#Data],MATCH("Дата",[1]!Таблица1[#Headers],0),FALSE)+0</f>
        <v>45730</v>
      </c>
      <c r="AB222" s="56" t="str">
        <f>VLOOKUP(Таблица2[[#This Row],[Номер заказа]],[1]!Таблица1[#Data],MATCH("Валюта",[1]!Таблица1[#Headers],0),FALSE)</f>
        <v>руб.</v>
      </c>
      <c r="AC222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3" spans="1:29" ht="14.25" customHeight="1" x14ac:dyDescent="0.2">
      <c r="A223" s="49" t="s">
        <v>391</v>
      </c>
      <c r="B223" s="50">
        <v>7</v>
      </c>
      <c r="C223" s="51"/>
      <c r="D223" s="52" t="s">
        <v>399</v>
      </c>
      <c r="E223" s="53"/>
      <c r="F223" s="54">
        <v>30</v>
      </c>
      <c r="G223" s="55"/>
      <c r="H223" s="56" t="s">
        <v>35</v>
      </c>
      <c r="I223" s="55"/>
      <c r="J223" s="57">
        <v>18960</v>
      </c>
      <c r="K223" s="57">
        <v>568800</v>
      </c>
      <c r="L223" s="58">
        <v>0.2</v>
      </c>
      <c r="M223" s="57">
        <v>94800</v>
      </c>
      <c r="N223" s="57">
        <v>568800</v>
      </c>
      <c r="O223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474000</v>
      </c>
      <c r="P223" s="55" t="s">
        <v>340</v>
      </c>
      <c r="Q223" s="51"/>
      <c r="R223" s="59" t="s">
        <v>394</v>
      </c>
      <c r="S223" s="60" t="s">
        <v>172</v>
      </c>
      <c r="T223" s="53"/>
      <c r="U223" s="55" t="s">
        <v>41</v>
      </c>
      <c r="V223" s="61"/>
      <c r="W223" s="55"/>
      <c r="X223" s="55" t="s">
        <v>41</v>
      </c>
      <c r="Y223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3" s="55" t="s">
        <v>141</v>
      </c>
      <c r="AA223" s="63">
        <f>VLOOKUP(Таблица2[[#This Row],[Номер заказа]],[1]!Таблица1[#Data],MATCH("Дата",[1]!Таблица1[#Headers],0),FALSE)+0</f>
        <v>45730</v>
      </c>
      <c r="AB223" s="56" t="str">
        <f>VLOOKUP(Таблица2[[#This Row],[Номер заказа]],[1]!Таблица1[#Data],MATCH("Валюта",[1]!Таблица1[#Headers],0),FALSE)</f>
        <v>руб.</v>
      </c>
      <c r="AC223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4" spans="1:29" ht="14.25" customHeight="1" x14ac:dyDescent="0.2">
      <c r="A224" s="49" t="s">
        <v>391</v>
      </c>
      <c r="B224" s="50">
        <v>8</v>
      </c>
      <c r="C224" s="51"/>
      <c r="D224" s="52" t="s">
        <v>400</v>
      </c>
      <c r="E224" s="53"/>
      <c r="F224" s="54">
        <v>30</v>
      </c>
      <c r="G224" s="55"/>
      <c r="H224" s="56" t="s">
        <v>35</v>
      </c>
      <c r="I224" s="55"/>
      <c r="J224" s="57">
        <v>18960</v>
      </c>
      <c r="K224" s="57">
        <v>568800</v>
      </c>
      <c r="L224" s="58">
        <v>0.2</v>
      </c>
      <c r="M224" s="57">
        <v>94800</v>
      </c>
      <c r="N224" s="57">
        <v>568800</v>
      </c>
      <c r="O224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474000</v>
      </c>
      <c r="P224" s="55" t="s">
        <v>340</v>
      </c>
      <c r="Q224" s="51"/>
      <c r="R224" s="59" t="s">
        <v>394</v>
      </c>
      <c r="S224" s="60" t="s">
        <v>172</v>
      </c>
      <c r="T224" s="53"/>
      <c r="U224" s="55" t="s">
        <v>41</v>
      </c>
      <c r="V224" s="61"/>
      <c r="W224" s="55"/>
      <c r="X224" s="55" t="s">
        <v>41</v>
      </c>
      <c r="Y224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4" s="55" t="s">
        <v>141</v>
      </c>
      <c r="AA224" s="63">
        <f>VLOOKUP(Таблица2[[#This Row],[Номер заказа]],[1]!Таблица1[#Data],MATCH("Дата",[1]!Таблица1[#Headers],0),FALSE)+0</f>
        <v>45730</v>
      </c>
      <c r="AB224" s="56" t="str">
        <f>VLOOKUP(Таблица2[[#This Row],[Номер заказа]],[1]!Таблица1[#Data],MATCH("Валюта",[1]!Таблица1[#Headers],0),FALSE)</f>
        <v>руб.</v>
      </c>
      <c r="AC224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5" spans="1:29" ht="14.25" customHeight="1" x14ac:dyDescent="0.2">
      <c r="A225" s="49" t="s">
        <v>391</v>
      </c>
      <c r="B225" s="50">
        <v>9</v>
      </c>
      <c r="C225" s="51"/>
      <c r="D225" s="52" t="s">
        <v>401</v>
      </c>
      <c r="E225" s="53"/>
      <c r="F225" s="54">
        <v>40</v>
      </c>
      <c r="G225" s="55"/>
      <c r="H225" s="56" t="s">
        <v>35</v>
      </c>
      <c r="I225" s="55"/>
      <c r="J225" s="57">
        <v>2641.2</v>
      </c>
      <c r="K225" s="57">
        <v>105648</v>
      </c>
      <c r="L225" s="58">
        <v>0.2</v>
      </c>
      <c r="M225" s="57">
        <v>17608</v>
      </c>
      <c r="N225" s="57">
        <v>105648</v>
      </c>
      <c r="O225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88040</v>
      </c>
      <c r="P225" s="55" t="s">
        <v>340</v>
      </c>
      <c r="Q225" s="51"/>
      <c r="R225" s="59" t="s">
        <v>394</v>
      </c>
      <c r="S225" s="60" t="s">
        <v>172</v>
      </c>
      <c r="T225" s="53"/>
      <c r="U225" s="55" t="s">
        <v>41</v>
      </c>
      <c r="V225" s="61"/>
      <c r="W225" s="55"/>
      <c r="X225" s="55" t="s">
        <v>41</v>
      </c>
      <c r="Y225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5" s="55" t="s">
        <v>141</v>
      </c>
      <c r="AA225" s="63">
        <f>VLOOKUP(Таблица2[[#This Row],[Номер заказа]],[1]!Таблица1[#Data],MATCH("Дата",[1]!Таблица1[#Headers],0),FALSE)+0</f>
        <v>45730</v>
      </c>
      <c r="AB225" s="56" t="str">
        <f>VLOOKUP(Таблица2[[#This Row],[Номер заказа]],[1]!Таблица1[#Data],MATCH("Валюта",[1]!Таблица1[#Headers],0),FALSE)</f>
        <v>руб.</v>
      </c>
      <c r="AC225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6" spans="1:29" ht="14.25" customHeight="1" x14ac:dyDescent="0.2">
      <c r="A226" s="49" t="s">
        <v>391</v>
      </c>
      <c r="B226" s="50">
        <v>10</v>
      </c>
      <c r="C226" s="51"/>
      <c r="D226" s="52" t="s">
        <v>402</v>
      </c>
      <c r="E226" s="53"/>
      <c r="F226" s="54">
        <v>60</v>
      </c>
      <c r="G226" s="55"/>
      <c r="H226" s="56" t="s">
        <v>35</v>
      </c>
      <c r="I226" s="55"/>
      <c r="J226" s="57">
        <v>180</v>
      </c>
      <c r="K226" s="57">
        <v>10800</v>
      </c>
      <c r="L226" s="58">
        <v>0.2</v>
      </c>
      <c r="M226" s="57">
        <v>1800</v>
      </c>
      <c r="N226" s="57">
        <v>10800</v>
      </c>
      <c r="O226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9000</v>
      </c>
      <c r="P226" s="55" t="s">
        <v>340</v>
      </c>
      <c r="Q226" s="51"/>
      <c r="R226" s="59" t="s">
        <v>394</v>
      </c>
      <c r="S226" s="60" t="s">
        <v>172</v>
      </c>
      <c r="T226" s="53"/>
      <c r="U226" s="55" t="s">
        <v>41</v>
      </c>
      <c r="V226" s="61"/>
      <c r="W226" s="55"/>
      <c r="X226" s="55" t="s">
        <v>41</v>
      </c>
      <c r="Y226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6" s="55" t="s">
        <v>141</v>
      </c>
      <c r="AA226" s="63">
        <f>VLOOKUP(Таблица2[[#This Row],[Номер заказа]],[1]!Таблица1[#Data],MATCH("Дата",[1]!Таблица1[#Headers],0),FALSE)+0</f>
        <v>45730</v>
      </c>
      <c r="AB226" s="56" t="str">
        <f>VLOOKUP(Таблица2[[#This Row],[Номер заказа]],[1]!Таблица1[#Data],MATCH("Валюта",[1]!Таблица1[#Headers],0),FALSE)</f>
        <v>руб.</v>
      </c>
      <c r="AC226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7" spans="1:29" ht="14.25" customHeight="1" x14ac:dyDescent="0.2">
      <c r="A227" s="49" t="s">
        <v>391</v>
      </c>
      <c r="B227" s="50">
        <v>11</v>
      </c>
      <c r="C227" s="51"/>
      <c r="D227" s="52" t="s">
        <v>403</v>
      </c>
      <c r="E227" s="53"/>
      <c r="F227" s="54">
        <v>40</v>
      </c>
      <c r="G227" s="55"/>
      <c r="H227" s="56" t="s">
        <v>35</v>
      </c>
      <c r="I227" s="55"/>
      <c r="J227" s="57">
        <v>3600</v>
      </c>
      <c r="K227" s="57">
        <v>144000</v>
      </c>
      <c r="L227" s="58">
        <v>0.2</v>
      </c>
      <c r="M227" s="57">
        <v>24000</v>
      </c>
      <c r="N227" s="57">
        <v>144000</v>
      </c>
      <c r="O22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120000</v>
      </c>
      <c r="P227" s="55" t="s">
        <v>340</v>
      </c>
      <c r="Q227" s="51"/>
      <c r="R227" s="59" t="s">
        <v>394</v>
      </c>
      <c r="S227" s="60" t="s">
        <v>172</v>
      </c>
      <c r="T227" s="53"/>
      <c r="U227" s="55" t="s">
        <v>41</v>
      </c>
      <c r="V227" s="61"/>
      <c r="W227" s="55"/>
      <c r="X227" s="55" t="s">
        <v>41</v>
      </c>
      <c r="Y227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7" s="55" t="s">
        <v>141</v>
      </c>
      <c r="AA227" s="63">
        <f>VLOOKUP(Таблица2[[#This Row],[Номер заказа]],[1]!Таблица1[#Data],MATCH("Дата",[1]!Таблица1[#Headers],0),FALSE)+0</f>
        <v>45730</v>
      </c>
      <c r="AB227" s="56" t="str">
        <f>VLOOKUP(Таблица2[[#This Row],[Номер заказа]],[1]!Таблица1[#Data],MATCH("Валюта",[1]!Таблица1[#Headers],0),FALSE)</f>
        <v>руб.</v>
      </c>
      <c r="AC22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8" spans="1:29" ht="14.25" customHeight="1" x14ac:dyDescent="0.2">
      <c r="A228" s="49" t="s">
        <v>391</v>
      </c>
      <c r="B228" s="50">
        <v>12</v>
      </c>
      <c r="C228" s="51"/>
      <c r="D228" s="52" t="s">
        <v>404</v>
      </c>
      <c r="E228" s="53"/>
      <c r="F228" s="54">
        <v>44</v>
      </c>
      <c r="G228" s="55"/>
      <c r="H228" s="56" t="s">
        <v>35</v>
      </c>
      <c r="I228" s="55"/>
      <c r="J228" s="57">
        <v>1600</v>
      </c>
      <c r="K228" s="57">
        <v>70400</v>
      </c>
      <c r="L228" s="58">
        <v>0.2</v>
      </c>
      <c r="M228" s="57">
        <v>11733.33</v>
      </c>
      <c r="N228" s="57">
        <v>70400</v>
      </c>
      <c r="O228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58666.67</v>
      </c>
      <c r="P228" s="55" t="s">
        <v>340</v>
      </c>
      <c r="Q228" s="51"/>
      <c r="R228" s="59" t="s">
        <v>394</v>
      </c>
      <c r="S228" s="60" t="s">
        <v>172</v>
      </c>
      <c r="T228" s="53"/>
      <c r="U228" s="55" t="s">
        <v>41</v>
      </c>
      <c r="V228" s="61"/>
      <c r="W228" s="55"/>
      <c r="X228" s="55" t="s">
        <v>41</v>
      </c>
      <c r="Y228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8" s="55" t="s">
        <v>141</v>
      </c>
      <c r="AA228" s="63">
        <f>VLOOKUP(Таблица2[[#This Row],[Номер заказа]],[1]!Таблица1[#Data],MATCH("Дата",[1]!Таблица1[#Headers],0),FALSE)+0</f>
        <v>45730</v>
      </c>
      <c r="AB228" s="56" t="str">
        <f>VLOOKUP(Таблица2[[#This Row],[Номер заказа]],[1]!Таблица1[#Data],MATCH("Валюта",[1]!Таблица1[#Headers],0),FALSE)</f>
        <v>руб.</v>
      </c>
      <c r="AC22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29" spans="1:29" ht="14.25" customHeight="1" x14ac:dyDescent="0.2">
      <c r="A229" s="49" t="s">
        <v>391</v>
      </c>
      <c r="B229" s="50">
        <v>13</v>
      </c>
      <c r="C229" s="51"/>
      <c r="D229" s="52" t="s">
        <v>405</v>
      </c>
      <c r="E229" s="53"/>
      <c r="F229" s="54">
        <v>4</v>
      </c>
      <c r="G229" s="55"/>
      <c r="H229" s="56" t="s">
        <v>35</v>
      </c>
      <c r="I229" s="55"/>
      <c r="J229" s="57">
        <v>3600</v>
      </c>
      <c r="K229" s="57">
        <v>14400</v>
      </c>
      <c r="L229" s="58">
        <v>0.2</v>
      </c>
      <c r="M229" s="57">
        <v>2400</v>
      </c>
      <c r="N229" s="57">
        <v>14400</v>
      </c>
      <c r="O229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12000</v>
      </c>
      <c r="P229" s="55" t="s">
        <v>340</v>
      </c>
      <c r="Q229" s="51"/>
      <c r="R229" s="59" t="s">
        <v>394</v>
      </c>
      <c r="S229" s="60" t="s">
        <v>172</v>
      </c>
      <c r="T229" s="53"/>
      <c r="U229" s="55" t="s">
        <v>41</v>
      </c>
      <c r="V229" s="61"/>
      <c r="W229" s="55"/>
      <c r="X229" s="55" t="s">
        <v>41</v>
      </c>
      <c r="Y229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29" s="55" t="s">
        <v>141</v>
      </c>
      <c r="AA229" s="63">
        <f>VLOOKUP(Таблица2[[#This Row],[Номер заказа]],[1]!Таблица1[#Data],MATCH("Дата",[1]!Таблица1[#Headers],0),FALSE)+0</f>
        <v>45730</v>
      </c>
      <c r="AB229" s="56" t="str">
        <f>VLOOKUP(Таблица2[[#This Row],[Номер заказа]],[1]!Таблица1[#Data],MATCH("Валюта",[1]!Таблица1[#Headers],0),FALSE)</f>
        <v>руб.</v>
      </c>
      <c r="AC229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0" spans="1:29" ht="14.25" customHeight="1" x14ac:dyDescent="0.2">
      <c r="A230" s="49" t="s">
        <v>391</v>
      </c>
      <c r="B230" s="50">
        <v>14</v>
      </c>
      <c r="C230" s="51"/>
      <c r="D230" s="52" t="s">
        <v>364</v>
      </c>
      <c r="E230" s="53"/>
      <c r="F230" s="54">
        <v>16</v>
      </c>
      <c r="G230" s="55"/>
      <c r="H230" s="56" t="s">
        <v>35</v>
      </c>
      <c r="I230" s="55"/>
      <c r="J230" s="57">
        <v>22800</v>
      </c>
      <c r="K230" s="57">
        <v>364800</v>
      </c>
      <c r="L230" s="58">
        <v>0.2</v>
      </c>
      <c r="M230" s="57">
        <v>60800</v>
      </c>
      <c r="N230" s="57">
        <v>364800</v>
      </c>
      <c r="O230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304000</v>
      </c>
      <c r="P230" s="55" t="s">
        <v>340</v>
      </c>
      <c r="Q230" s="51"/>
      <c r="R230" s="59" t="s">
        <v>394</v>
      </c>
      <c r="S230" s="60" t="s">
        <v>172</v>
      </c>
      <c r="T230" s="53"/>
      <c r="U230" s="55" t="s">
        <v>41</v>
      </c>
      <c r="V230" s="61"/>
      <c r="W230" s="55"/>
      <c r="X230" s="55" t="s">
        <v>41</v>
      </c>
      <c r="Y230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0" s="55" t="s">
        <v>141</v>
      </c>
      <c r="AA230" s="63">
        <f>VLOOKUP(Таблица2[[#This Row],[Номер заказа]],[1]!Таблица1[#Data],MATCH("Дата",[1]!Таблица1[#Headers],0),FALSE)+0</f>
        <v>45730</v>
      </c>
      <c r="AB230" s="56" t="str">
        <f>VLOOKUP(Таблица2[[#This Row],[Номер заказа]],[1]!Таблица1[#Data],MATCH("Валюта",[1]!Таблица1[#Headers],0),FALSE)</f>
        <v>руб.</v>
      </c>
      <c r="AC230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1" spans="1:29" ht="14.25" customHeight="1" x14ac:dyDescent="0.2">
      <c r="A231" s="49" t="s">
        <v>391</v>
      </c>
      <c r="B231" s="50">
        <v>15</v>
      </c>
      <c r="C231" s="51"/>
      <c r="D231" s="52" t="s">
        <v>406</v>
      </c>
      <c r="E231" s="53"/>
      <c r="F231" s="54">
        <v>60</v>
      </c>
      <c r="G231" s="55"/>
      <c r="H231" s="56" t="s">
        <v>35</v>
      </c>
      <c r="I231" s="55"/>
      <c r="J231" s="57">
        <v>22800</v>
      </c>
      <c r="K231" s="57">
        <v>1368000</v>
      </c>
      <c r="L231" s="58">
        <v>0.2</v>
      </c>
      <c r="M231" s="57">
        <v>228000</v>
      </c>
      <c r="N231" s="57">
        <v>1368000</v>
      </c>
      <c r="O231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1140000</v>
      </c>
      <c r="P231" s="55" t="s">
        <v>340</v>
      </c>
      <c r="Q231" s="51"/>
      <c r="R231" s="59" t="s">
        <v>394</v>
      </c>
      <c r="S231" s="60" t="s">
        <v>172</v>
      </c>
      <c r="T231" s="53"/>
      <c r="U231" s="55" t="s">
        <v>41</v>
      </c>
      <c r="V231" s="61"/>
      <c r="W231" s="55"/>
      <c r="X231" s="55" t="s">
        <v>41</v>
      </c>
      <c r="Y231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1" s="55" t="s">
        <v>141</v>
      </c>
      <c r="AA231" s="63">
        <f>VLOOKUP(Таблица2[[#This Row],[Номер заказа]],[1]!Таблица1[#Data],MATCH("Дата",[1]!Таблица1[#Headers],0),FALSE)+0</f>
        <v>45730</v>
      </c>
      <c r="AB231" s="56" t="str">
        <f>VLOOKUP(Таблица2[[#This Row],[Номер заказа]],[1]!Таблица1[#Data],MATCH("Валюта",[1]!Таблица1[#Headers],0),FALSE)</f>
        <v>руб.</v>
      </c>
      <c r="AC231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2" spans="1:29" ht="14.25" customHeight="1" x14ac:dyDescent="0.2">
      <c r="A232" s="49" t="s">
        <v>391</v>
      </c>
      <c r="B232" s="50">
        <v>16</v>
      </c>
      <c r="C232" s="51"/>
      <c r="D232" s="52" t="s">
        <v>407</v>
      </c>
      <c r="E232" s="53"/>
      <c r="F232" s="54">
        <v>60</v>
      </c>
      <c r="G232" s="55"/>
      <c r="H232" s="56" t="s">
        <v>35</v>
      </c>
      <c r="I232" s="55"/>
      <c r="J232" s="57">
        <v>2640</v>
      </c>
      <c r="K232" s="57">
        <v>158400</v>
      </c>
      <c r="L232" s="58">
        <v>0.2</v>
      </c>
      <c r="M232" s="57">
        <v>26400</v>
      </c>
      <c r="N232" s="57">
        <v>158400</v>
      </c>
      <c r="O232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132000</v>
      </c>
      <c r="P232" s="55" t="s">
        <v>340</v>
      </c>
      <c r="Q232" s="51"/>
      <c r="R232" s="59" t="s">
        <v>394</v>
      </c>
      <c r="S232" s="60" t="s">
        <v>172</v>
      </c>
      <c r="T232" s="53"/>
      <c r="U232" s="55" t="s">
        <v>41</v>
      </c>
      <c r="V232" s="61"/>
      <c r="W232" s="55"/>
      <c r="X232" s="55" t="s">
        <v>41</v>
      </c>
      <c r="Y232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2" s="55" t="s">
        <v>141</v>
      </c>
      <c r="AA232" s="63">
        <f>VLOOKUP(Таблица2[[#This Row],[Номер заказа]],[1]!Таблица1[#Data],MATCH("Дата",[1]!Таблица1[#Headers],0),FALSE)+0</f>
        <v>45730</v>
      </c>
      <c r="AB232" s="56" t="str">
        <f>VLOOKUP(Таблица2[[#This Row],[Номер заказа]],[1]!Таблица1[#Data],MATCH("Валюта",[1]!Таблица1[#Headers],0),FALSE)</f>
        <v>руб.</v>
      </c>
      <c r="AC232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3" spans="1:29" ht="14.25" customHeight="1" x14ac:dyDescent="0.2">
      <c r="A233" s="49" t="s">
        <v>391</v>
      </c>
      <c r="B233" s="50">
        <v>17</v>
      </c>
      <c r="C233" s="51"/>
      <c r="D233" s="52" t="s">
        <v>393</v>
      </c>
      <c r="E233" s="53"/>
      <c r="F233" s="54">
        <v>4</v>
      </c>
      <c r="G233" s="55"/>
      <c r="H233" s="56" t="s">
        <v>35</v>
      </c>
      <c r="I233" s="55"/>
      <c r="J233" s="57">
        <v>22800</v>
      </c>
      <c r="K233" s="57">
        <v>91200</v>
      </c>
      <c r="L233" s="58">
        <v>0.2</v>
      </c>
      <c r="M233" s="57">
        <v>15200</v>
      </c>
      <c r="N233" s="57">
        <v>91200</v>
      </c>
      <c r="O233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76000</v>
      </c>
      <c r="P233" s="55" t="s">
        <v>340</v>
      </c>
      <c r="Q233" s="51"/>
      <c r="R233" s="59" t="s">
        <v>408</v>
      </c>
      <c r="S233" s="60" t="s">
        <v>178</v>
      </c>
      <c r="T233" s="53"/>
      <c r="U233" s="55" t="s">
        <v>41</v>
      </c>
      <c r="V233" s="61"/>
      <c r="W233" s="55"/>
      <c r="X233" s="55" t="s">
        <v>41</v>
      </c>
      <c r="Y233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3" s="55" t="s">
        <v>141</v>
      </c>
      <c r="AA233" s="63">
        <f>VLOOKUP(Таблица2[[#This Row],[Номер заказа]],[1]!Таблица1[#Data],MATCH("Дата",[1]!Таблица1[#Headers],0),FALSE)+0</f>
        <v>45730</v>
      </c>
      <c r="AB233" s="56" t="str">
        <f>VLOOKUP(Таблица2[[#This Row],[Номер заказа]],[1]!Таблица1[#Data],MATCH("Валюта",[1]!Таблица1[#Headers],0),FALSE)</f>
        <v>руб.</v>
      </c>
      <c r="AC233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4" spans="1:29" ht="14.25" customHeight="1" x14ac:dyDescent="0.2">
      <c r="A234" s="49" t="s">
        <v>391</v>
      </c>
      <c r="B234" s="50">
        <v>18</v>
      </c>
      <c r="C234" s="51"/>
      <c r="D234" s="52" t="s">
        <v>393</v>
      </c>
      <c r="E234" s="53"/>
      <c r="F234" s="54">
        <v>4</v>
      </c>
      <c r="G234" s="55"/>
      <c r="H234" s="56" t="s">
        <v>35</v>
      </c>
      <c r="I234" s="55"/>
      <c r="J234" s="57">
        <v>22800</v>
      </c>
      <c r="K234" s="57">
        <v>91200</v>
      </c>
      <c r="L234" s="58">
        <v>0.2</v>
      </c>
      <c r="M234" s="57">
        <v>15200</v>
      </c>
      <c r="N234" s="57">
        <v>91200</v>
      </c>
      <c r="O234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76000</v>
      </c>
      <c r="P234" s="55" t="s">
        <v>340</v>
      </c>
      <c r="Q234" s="51"/>
      <c r="R234" s="59" t="s">
        <v>392</v>
      </c>
      <c r="S234" s="60" t="s">
        <v>180</v>
      </c>
      <c r="T234" s="53"/>
      <c r="U234" s="55" t="s">
        <v>41</v>
      </c>
      <c r="V234" s="61"/>
      <c r="W234" s="55"/>
      <c r="X234" s="55" t="s">
        <v>41</v>
      </c>
      <c r="Y234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4" s="55" t="s">
        <v>141</v>
      </c>
      <c r="AA234" s="63">
        <f>VLOOKUP(Таблица2[[#This Row],[Номер заказа]],[1]!Таблица1[#Data],MATCH("Дата",[1]!Таблица1[#Headers],0),FALSE)+0</f>
        <v>45730</v>
      </c>
      <c r="AB234" s="56" t="str">
        <f>VLOOKUP(Таблица2[[#This Row],[Номер заказа]],[1]!Таблица1[#Data],MATCH("Валюта",[1]!Таблица1[#Headers],0),FALSE)</f>
        <v>руб.</v>
      </c>
      <c r="AC234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5" spans="1:29" ht="14.25" customHeight="1" x14ac:dyDescent="0.2">
      <c r="A235" s="49" t="s">
        <v>391</v>
      </c>
      <c r="B235" s="50">
        <v>19</v>
      </c>
      <c r="C235" s="51"/>
      <c r="D235" s="52" t="s">
        <v>393</v>
      </c>
      <c r="E235" s="53"/>
      <c r="F235" s="54">
        <v>8</v>
      </c>
      <c r="G235" s="55"/>
      <c r="H235" s="56" t="s">
        <v>35</v>
      </c>
      <c r="I235" s="55"/>
      <c r="J235" s="57">
        <v>22800</v>
      </c>
      <c r="K235" s="57">
        <v>182400</v>
      </c>
      <c r="L235" s="58">
        <v>0.2</v>
      </c>
      <c r="M235" s="57">
        <v>30400</v>
      </c>
      <c r="N235" s="57">
        <v>182400</v>
      </c>
      <c r="O235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152000</v>
      </c>
      <c r="P235" s="55" t="s">
        <v>340</v>
      </c>
      <c r="Q235" s="51"/>
      <c r="R235" s="59" t="s">
        <v>409</v>
      </c>
      <c r="S235" s="60" t="s">
        <v>182</v>
      </c>
      <c r="T235" s="53"/>
      <c r="U235" s="55" t="s">
        <v>41</v>
      </c>
      <c r="V235" s="61"/>
      <c r="W235" s="55"/>
      <c r="X235" s="55" t="s">
        <v>41</v>
      </c>
      <c r="Y235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5" s="55" t="s">
        <v>141</v>
      </c>
      <c r="AA235" s="63">
        <f>VLOOKUP(Таблица2[[#This Row],[Номер заказа]],[1]!Таблица1[#Data],MATCH("Дата",[1]!Таблица1[#Headers],0),FALSE)+0</f>
        <v>45730</v>
      </c>
      <c r="AB235" s="56" t="str">
        <f>VLOOKUP(Таблица2[[#This Row],[Номер заказа]],[1]!Таблица1[#Data],MATCH("Валюта",[1]!Таблица1[#Headers],0),FALSE)</f>
        <v>руб.</v>
      </c>
      <c r="AC235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6" spans="1:29" ht="14.25" customHeight="1" x14ac:dyDescent="0.2">
      <c r="A236" s="49" t="s">
        <v>391</v>
      </c>
      <c r="B236" s="50">
        <v>20</v>
      </c>
      <c r="C236" s="51"/>
      <c r="D236" s="52" t="s">
        <v>395</v>
      </c>
      <c r="E236" s="53"/>
      <c r="F236" s="54">
        <v>4</v>
      </c>
      <c r="G236" s="55"/>
      <c r="H236" s="56" t="s">
        <v>35</v>
      </c>
      <c r="I236" s="55"/>
      <c r="J236" s="57">
        <v>18000</v>
      </c>
      <c r="K236" s="57">
        <v>72000</v>
      </c>
      <c r="L236" s="58">
        <v>0.2</v>
      </c>
      <c r="M236" s="57">
        <v>12000</v>
      </c>
      <c r="N236" s="57">
        <v>72000</v>
      </c>
      <c r="O236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60000</v>
      </c>
      <c r="P236" s="55" t="s">
        <v>340</v>
      </c>
      <c r="Q236" s="51"/>
      <c r="R236" s="59" t="s">
        <v>408</v>
      </c>
      <c r="S236" s="60" t="s">
        <v>178</v>
      </c>
      <c r="T236" s="53"/>
      <c r="U236" s="55" t="s">
        <v>41</v>
      </c>
      <c r="V236" s="61"/>
      <c r="W236" s="55"/>
      <c r="X236" s="55" t="s">
        <v>41</v>
      </c>
      <c r="Y236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6" s="55" t="s">
        <v>141</v>
      </c>
      <c r="AA236" s="63">
        <f>VLOOKUP(Таблица2[[#This Row],[Номер заказа]],[1]!Таблица1[#Data],MATCH("Дата",[1]!Таблица1[#Headers],0),FALSE)+0</f>
        <v>45730</v>
      </c>
      <c r="AB236" s="56" t="str">
        <f>VLOOKUP(Таблица2[[#This Row],[Номер заказа]],[1]!Таблица1[#Data],MATCH("Валюта",[1]!Таблица1[#Headers],0),FALSE)</f>
        <v>руб.</v>
      </c>
      <c r="AC236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7" spans="1:29" ht="14.25" customHeight="1" x14ac:dyDescent="0.2">
      <c r="A237" s="49" t="s">
        <v>391</v>
      </c>
      <c r="B237" s="50">
        <v>21</v>
      </c>
      <c r="C237" s="51"/>
      <c r="D237" s="52" t="s">
        <v>395</v>
      </c>
      <c r="E237" s="53"/>
      <c r="F237" s="54">
        <v>4</v>
      </c>
      <c r="G237" s="55"/>
      <c r="H237" s="56" t="s">
        <v>35</v>
      </c>
      <c r="I237" s="55"/>
      <c r="J237" s="57">
        <v>18000</v>
      </c>
      <c r="K237" s="57">
        <v>72000</v>
      </c>
      <c r="L237" s="58">
        <v>0.2</v>
      </c>
      <c r="M237" s="57">
        <v>12000</v>
      </c>
      <c r="N237" s="57">
        <v>72000</v>
      </c>
      <c r="O23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60000</v>
      </c>
      <c r="P237" s="55" t="s">
        <v>340</v>
      </c>
      <c r="Q237" s="51"/>
      <c r="R237" s="59" t="s">
        <v>392</v>
      </c>
      <c r="S237" s="60" t="s">
        <v>180</v>
      </c>
      <c r="T237" s="53"/>
      <c r="U237" s="55" t="s">
        <v>41</v>
      </c>
      <c r="V237" s="61"/>
      <c r="W237" s="55"/>
      <c r="X237" s="55" t="s">
        <v>41</v>
      </c>
      <c r="Y237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7" s="55" t="s">
        <v>141</v>
      </c>
      <c r="AA237" s="63">
        <f>VLOOKUP(Таблица2[[#This Row],[Номер заказа]],[1]!Таблица1[#Data],MATCH("Дата",[1]!Таблица1[#Headers],0),FALSE)+0</f>
        <v>45730</v>
      </c>
      <c r="AB237" s="56" t="str">
        <f>VLOOKUP(Таблица2[[#This Row],[Номер заказа]],[1]!Таблица1[#Data],MATCH("Валюта",[1]!Таблица1[#Headers],0),FALSE)</f>
        <v>руб.</v>
      </c>
      <c r="AC23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8" spans="1:29" ht="14.25" customHeight="1" x14ac:dyDescent="0.2">
      <c r="A238" s="49" t="s">
        <v>391</v>
      </c>
      <c r="B238" s="50">
        <v>22</v>
      </c>
      <c r="C238" s="51"/>
      <c r="D238" s="52" t="s">
        <v>395</v>
      </c>
      <c r="E238" s="53"/>
      <c r="F238" s="54">
        <v>8</v>
      </c>
      <c r="G238" s="55"/>
      <c r="H238" s="56" t="s">
        <v>35</v>
      </c>
      <c r="I238" s="55"/>
      <c r="J238" s="57">
        <v>18000</v>
      </c>
      <c r="K238" s="57">
        <v>144000</v>
      </c>
      <c r="L238" s="58">
        <v>0.2</v>
      </c>
      <c r="M238" s="57">
        <v>24000</v>
      </c>
      <c r="N238" s="57">
        <v>144000</v>
      </c>
      <c r="O238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120000</v>
      </c>
      <c r="P238" s="55" t="s">
        <v>340</v>
      </c>
      <c r="Q238" s="51"/>
      <c r="R238" s="59" t="s">
        <v>409</v>
      </c>
      <c r="S238" s="60" t="s">
        <v>182</v>
      </c>
      <c r="T238" s="53"/>
      <c r="U238" s="55" t="s">
        <v>41</v>
      </c>
      <c r="V238" s="61"/>
      <c r="W238" s="55"/>
      <c r="X238" s="55" t="s">
        <v>41</v>
      </c>
      <c r="Y238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8" s="55" t="s">
        <v>141</v>
      </c>
      <c r="AA238" s="63">
        <f>VLOOKUP(Таблица2[[#This Row],[Номер заказа]],[1]!Таблица1[#Data],MATCH("Дата",[1]!Таблица1[#Headers],0),FALSE)+0</f>
        <v>45730</v>
      </c>
      <c r="AB238" s="56" t="str">
        <f>VLOOKUP(Таблица2[[#This Row],[Номер заказа]],[1]!Таблица1[#Data],MATCH("Валюта",[1]!Таблица1[#Headers],0),FALSE)</f>
        <v>руб.</v>
      </c>
      <c r="AC23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39" spans="1:29" ht="14.25" customHeight="1" x14ac:dyDescent="0.2">
      <c r="A239" s="49" t="s">
        <v>391</v>
      </c>
      <c r="B239" s="50">
        <v>23</v>
      </c>
      <c r="C239" s="51"/>
      <c r="D239" s="52" t="s">
        <v>396</v>
      </c>
      <c r="E239" s="53"/>
      <c r="F239" s="54">
        <v>2</v>
      </c>
      <c r="G239" s="55"/>
      <c r="H239" s="56" t="s">
        <v>35</v>
      </c>
      <c r="I239" s="55"/>
      <c r="J239" s="57">
        <v>18000</v>
      </c>
      <c r="K239" s="57">
        <v>36000</v>
      </c>
      <c r="L239" s="58">
        <v>0.2</v>
      </c>
      <c r="M239" s="57">
        <v>6000</v>
      </c>
      <c r="N239" s="57">
        <v>36000</v>
      </c>
      <c r="O239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39" s="55" t="s">
        <v>340</v>
      </c>
      <c r="Q239" s="51"/>
      <c r="R239" s="59" t="s">
        <v>408</v>
      </c>
      <c r="S239" s="60" t="s">
        <v>178</v>
      </c>
      <c r="T239" s="53"/>
      <c r="U239" s="55" t="s">
        <v>41</v>
      </c>
      <c r="V239" s="61"/>
      <c r="W239" s="55"/>
      <c r="X239" s="55" t="s">
        <v>41</v>
      </c>
      <c r="Y239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39" s="55" t="s">
        <v>141</v>
      </c>
      <c r="AA239" s="63">
        <f>VLOOKUP(Таблица2[[#This Row],[Номер заказа]],[1]!Таблица1[#Data],MATCH("Дата",[1]!Таблица1[#Headers],0),FALSE)+0</f>
        <v>45730</v>
      </c>
      <c r="AB239" s="56" t="str">
        <f>VLOOKUP(Таблица2[[#This Row],[Номер заказа]],[1]!Таблица1[#Data],MATCH("Валюта",[1]!Таблица1[#Headers],0),FALSE)</f>
        <v>руб.</v>
      </c>
      <c r="AC239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0" spans="1:29" ht="14.25" customHeight="1" x14ac:dyDescent="0.2">
      <c r="A240" s="49" t="s">
        <v>391</v>
      </c>
      <c r="B240" s="50">
        <v>24</v>
      </c>
      <c r="C240" s="51"/>
      <c r="D240" s="52" t="s">
        <v>396</v>
      </c>
      <c r="E240" s="53"/>
      <c r="F240" s="54">
        <v>2</v>
      </c>
      <c r="G240" s="55"/>
      <c r="H240" s="56" t="s">
        <v>35</v>
      </c>
      <c r="I240" s="55"/>
      <c r="J240" s="57">
        <v>18000</v>
      </c>
      <c r="K240" s="57">
        <v>36000</v>
      </c>
      <c r="L240" s="58">
        <v>0.2</v>
      </c>
      <c r="M240" s="57">
        <v>6000</v>
      </c>
      <c r="N240" s="57">
        <v>36000</v>
      </c>
      <c r="O240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40" s="55" t="s">
        <v>340</v>
      </c>
      <c r="Q240" s="51"/>
      <c r="R240" s="59" t="s">
        <v>392</v>
      </c>
      <c r="S240" s="60" t="s">
        <v>180</v>
      </c>
      <c r="T240" s="53"/>
      <c r="U240" s="55" t="s">
        <v>41</v>
      </c>
      <c r="V240" s="61"/>
      <c r="W240" s="55"/>
      <c r="X240" s="55" t="s">
        <v>41</v>
      </c>
      <c r="Y240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0" s="55" t="s">
        <v>141</v>
      </c>
      <c r="AA240" s="63">
        <f>VLOOKUP(Таблица2[[#This Row],[Номер заказа]],[1]!Таблица1[#Data],MATCH("Дата",[1]!Таблица1[#Headers],0),FALSE)+0</f>
        <v>45730</v>
      </c>
      <c r="AB240" s="56" t="str">
        <f>VLOOKUP(Таблица2[[#This Row],[Номер заказа]],[1]!Таблица1[#Data],MATCH("Валюта",[1]!Таблица1[#Headers],0),FALSE)</f>
        <v>руб.</v>
      </c>
      <c r="AC240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1" spans="1:29" ht="14.25" customHeight="1" x14ac:dyDescent="0.2">
      <c r="A241" s="49" t="s">
        <v>391</v>
      </c>
      <c r="B241" s="50">
        <v>25</v>
      </c>
      <c r="C241" s="51"/>
      <c r="D241" s="52" t="s">
        <v>396</v>
      </c>
      <c r="E241" s="53"/>
      <c r="F241" s="54">
        <v>4</v>
      </c>
      <c r="G241" s="55"/>
      <c r="H241" s="56" t="s">
        <v>35</v>
      </c>
      <c r="I241" s="55"/>
      <c r="J241" s="57">
        <v>18000</v>
      </c>
      <c r="K241" s="57">
        <v>72000</v>
      </c>
      <c r="L241" s="58">
        <v>0.2</v>
      </c>
      <c r="M241" s="57">
        <v>12000</v>
      </c>
      <c r="N241" s="57">
        <v>72000</v>
      </c>
      <c r="O241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60000</v>
      </c>
      <c r="P241" s="55" t="s">
        <v>340</v>
      </c>
      <c r="Q241" s="51"/>
      <c r="R241" s="59" t="s">
        <v>409</v>
      </c>
      <c r="S241" s="60" t="s">
        <v>182</v>
      </c>
      <c r="T241" s="53"/>
      <c r="U241" s="55" t="s">
        <v>41</v>
      </c>
      <c r="V241" s="61"/>
      <c r="W241" s="55"/>
      <c r="X241" s="55" t="s">
        <v>41</v>
      </c>
      <c r="Y241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1" s="55" t="s">
        <v>141</v>
      </c>
      <c r="AA241" s="63">
        <f>VLOOKUP(Таблица2[[#This Row],[Номер заказа]],[1]!Таблица1[#Data],MATCH("Дата",[1]!Таблица1[#Headers],0),FALSE)+0</f>
        <v>45730</v>
      </c>
      <c r="AB241" s="56" t="str">
        <f>VLOOKUP(Таблица2[[#This Row],[Номер заказа]],[1]!Таблица1[#Data],MATCH("Валюта",[1]!Таблица1[#Headers],0),FALSE)</f>
        <v>руб.</v>
      </c>
      <c r="AC241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2" spans="1:29" ht="14.25" customHeight="1" x14ac:dyDescent="0.2">
      <c r="A242" s="49" t="s">
        <v>391</v>
      </c>
      <c r="B242" s="50">
        <v>26</v>
      </c>
      <c r="C242" s="51"/>
      <c r="D242" s="52" t="s">
        <v>397</v>
      </c>
      <c r="E242" s="53"/>
      <c r="F242" s="54">
        <v>2</v>
      </c>
      <c r="G242" s="55"/>
      <c r="H242" s="56" t="s">
        <v>35</v>
      </c>
      <c r="I242" s="55"/>
      <c r="J242" s="57">
        <v>18000</v>
      </c>
      <c r="K242" s="57">
        <v>36000</v>
      </c>
      <c r="L242" s="58">
        <v>0.2</v>
      </c>
      <c r="M242" s="57">
        <v>6000</v>
      </c>
      <c r="N242" s="57">
        <v>36000</v>
      </c>
      <c r="O242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42" s="55" t="s">
        <v>340</v>
      </c>
      <c r="Q242" s="51"/>
      <c r="R242" s="59" t="s">
        <v>408</v>
      </c>
      <c r="S242" s="60" t="s">
        <v>178</v>
      </c>
      <c r="T242" s="53"/>
      <c r="U242" s="55" t="s">
        <v>41</v>
      </c>
      <c r="V242" s="61"/>
      <c r="W242" s="55"/>
      <c r="X242" s="55" t="s">
        <v>41</v>
      </c>
      <c r="Y242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2" s="55" t="s">
        <v>141</v>
      </c>
      <c r="AA242" s="63">
        <f>VLOOKUP(Таблица2[[#This Row],[Номер заказа]],[1]!Таблица1[#Data],MATCH("Дата",[1]!Таблица1[#Headers],0),FALSE)+0</f>
        <v>45730</v>
      </c>
      <c r="AB242" s="56" t="str">
        <f>VLOOKUP(Таблица2[[#This Row],[Номер заказа]],[1]!Таблица1[#Data],MATCH("Валюта",[1]!Таблица1[#Headers],0),FALSE)</f>
        <v>руб.</v>
      </c>
      <c r="AC242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3" spans="1:29" ht="14.25" customHeight="1" x14ac:dyDescent="0.2">
      <c r="A243" s="49" t="s">
        <v>391</v>
      </c>
      <c r="B243" s="50">
        <v>27</v>
      </c>
      <c r="C243" s="51"/>
      <c r="D243" s="52" t="s">
        <v>397</v>
      </c>
      <c r="E243" s="53"/>
      <c r="F243" s="54">
        <v>2</v>
      </c>
      <c r="G243" s="55"/>
      <c r="H243" s="56" t="s">
        <v>35</v>
      </c>
      <c r="I243" s="55"/>
      <c r="J243" s="57">
        <v>18000</v>
      </c>
      <c r="K243" s="57">
        <v>36000</v>
      </c>
      <c r="L243" s="58">
        <v>0.2</v>
      </c>
      <c r="M243" s="57">
        <v>6000</v>
      </c>
      <c r="N243" s="57">
        <v>36000</v>
      </c>
      <c r="O243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30000</v>
      </c>
      <c r="P243" s="55" t="s">
        <v>340</v>
      </c>
      <c r="Q243" s="51"/>
      <c r="R243" s="59" t="s">
        <v>392</v>
      </c>
      <c r="S243" s="60" t="s">
        <v>180</v>
      </c>
      <c r="T243" s="53"/>
      <c r="U243" s="55" t="s">
        <v>41</v>
      </c>
      <c r="V243" s="61"/>
      <c r="W243" s="55"/>
      <c r="X243" s="55" t="s">
        <v>41</v>
      </c>
      <c r="Y243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3" s="55" t="s">
        <v>141</v>
      </c>
      <c r="AA243" s="63">
        <f>VLOOKUP(Таблица2[[#This Row],[Номер заказа]],[1]!Таблица1[#Data],MATCH("Дата",[1]!Таблица1[#Headers],0),FALSE)+0</f>
        <v>45730</v>
      </c>
      <c r="AB243" s="56" t="str">
        <f>VLOOKUP(Таблица2[[#This Row],[Номер заказа]],[1]!Таблица1[#Data],MATCH("Валюта",[1]!Таблица1[#Headers],0),FALSE)</f>
        <v>руб.</v>
      </c>
      <c r="AC243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4" spans="1:29" ht="14.25" customHeight="1" x14ac:dyDescent="0.2">
      <c r="A244" s="49" t="s">
        <v>391</v>
      </c>
      <c r="B244" s="50">
        <v>28</v>
      </c>
      <c r="C244" s="51"/>
      <c r="D244" s="52" t="s">
        <v>397</v>
      </c>
      <c r="E244" s="53"/>
      <c r="F244" s="54">
        <v>4</v>
      </c>
      <c r="G244" s="55"/>
      <c r="H244" s="56" t="s">
        <v>35</v>
      </c>
      <c r="I244" s="55"/>
      <c r="J244" s="57">
        <v>18000</v>
      </c>
      <c r="K244" s="57">
        <v>72000</v>
      </c>
      <c r="L244" s="58">
        <v>0.2</v>
      </c>
      <c r="M244" s="57">
        <v>12000</v>
      </c>
      <c r="N244" s="57">
        <v>72000</v>
      </c>
      <c r="O244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60000</v>
      </c>
      <c r="P244" s="55" t="s">
        <v>340</v>
      </c>
      <c r="Q244" s="51"/>
      <c r="R244" s="59" t="s">
        <v>409</v>
      </c>
      <c r="S244" s="60" t="s">
        <v>182</v>
      </c>
      <c r="T244" s="53"/>
      <c r="U244" s="55" t="s">
        <v>41</v>
      </c>
      <c r="V244" s="61"/>
      <c r="W244" s="55"/>
      <c r="X244" s="55" t="s">
        <v>41</v>
      </c>
      <c r="Y244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4" s="55" t="s">
        <v>141</v>
      </c>
      <c r="AA244" s="63">
        <f>VLOOKUP(Таблица2[[#This Row],[Номер заказа]],[1]!Таблица1[#Data],MATCH("Дата",[1]!Таблица1[#Headers],0),FALSE)+0</f>
        <v>45730</v>
      </c>
      <c r="AB244" s="56" t="str">
        <f>VLOOKUP(Таблица2[[#This Row],[Номер заказа]],[1]!Таблица1[#Data],MATCH("Валюта",[1]!Таблица1[#Headers],0),FALSE)</f>
        <v>руб.</v>
      </c>
      <c r="AC244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5" spans="1:29" ht="14.25" customHeight="1" x14ac:dyDescent="0.2">
      <c r="A245" s="49" t="s">
        <v>391</v>
      </c>
      <c r="B245" s="50">
        <v>29</v>
      </c>
      <c r="C245" s="51"/>
      <c r="D245" s="52" t="s">
        <v>364</v>
      </c>
      <c r="E245" s="53"/>
      <c r="F245" s="54">
        <v>4</v>
      </c>
      <c r="G245" s="55"/>
      <c r="H245" s="56" t="s">
        <v>35</v>
      </c>
      <c r="I245" s="55"/>
      <c r="J245" s="57">
        <v>22800</v>
      </c>
      <c r="K245" s="57">
        <v>91200</v>
      </c>
      <c r="L245" s="58">
        <v>0.2</v>
      </c>
      <c r="M245" s="57">
        <v>15200</v>
      </c>
      <c r="N245" s="57">
        <v>91200</v>
      </c>
      <c r="O245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76000</v>
      </c>
      <c r="P245" s="55" t="s">
        <v>340</v>
      </c>
      <c r="Q245" s="51"/>
      <c r="R245" s="59" t="s">
        <v>408</v>
      </c>
      <c r="S245" s="60" t="s">
        <v>178</v>
      </c>
      <c r="T245" s="53"/>
      <c r="U245" s="55" t="s">
        <v>41</v>
      </c>
      <c r="V245" s="61"/>
      <c r="W245" s="55"/>
      <c r="X245" s="55" t="s">
        <v>41</v>
      </c>
      <c r="Y245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5" s="55" t="s">
        <v>141</v>
      </c>
      <c r="AA245" s="63">
        <f>VLOOKUP(Таблица2[[#This Row],[Номер заказа]],[1]!Таблица1[#Data],MATCH("Дата",[1]!Таблица1[#Headers],0),FALSE)+0</f>
        <v>45730</v>
      </c>
      <c r="AB245" s="56" t="str">
        <f>VLOOKUP(Таблица2[[#This Row],[Номер заказа]],[1]!Таблица1[#Data],MATCH("Валюта",[1]!Таблица1[#Headers],0),FALSE)</f>
        <v>руб.</v>
      </c>
      <c r="AC245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6" spans="1:29" ht="14.25" customHeight="1" x14ac:dyDescent="0.2">
      <c r="A246" s="49" t="s">
        <v>391</v>
      </c>
      <c r="B246" s="50">
        <v>30</v>
      </c>
      <c r="C246" s="51"/>
      <c r="D246" s="52" t="s">
        <v>364</v>
      </c>
      <c r="E246" s="53"/>
      <c r="F246" s="54">
        <v>8</v>
      </c>
      <c r="G246" s="55"/>
      <c r="H246" s="56" t="s">
        <v>35</v>
      </c>
      <c r="I246" s="55"/>
      <c r="J246" s="57">
        <v>22800</v>
      </c>
      <c r="K246" s="57">
        <v>182400</v>
      </c>
      <c r="L246" s="58">
        <v>0.2</v>
      </c>
      <c r="M246" s="57">
        <v>30400</v>
      </c>
      <c r="N246" s="57">
        <v>182400</v>
      </c>
      <c r="O246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152000</v>
      </c>
      <c r="P246" s="55" t="s">
        <v>340</v>
      </c>
      <c r="Q246" s="51"/>
      <c r="R246" s="59" t="s">
        <v>409</v>
      </c>
      <c r="S246" s="60" t="s">
        <v>182</v>
      </c>
      <c r="T246" s="53"/>
      <c r="U246" s="55" t="s">
        <v>41</v>
      </c>
      <c r="V246" s="61"/>
      <c r="W246" s="55"/>
      <c r="X246" s="55" t="s">
        <v>41</v>
      </c>
      <c r="Y246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6" s="55" t="s">
        <v>141</v>
      </c>
      <c r="AA246" s="63">
        <f>VLOOKUP(Таблица2[[#This Row],[Номер заказа]],[1]!Таблица1[#Data],MATCH("Дата",[1]!Таблица1[#Headers],0),FALSE)+0</f>
        <v>45730</v>
      </c>
      <c r="AB246" s="56" t="str">
        <f>VLOOKUP(Таблица2[[#This Row],[Номер заказа]],[1]!Таблица1[#Data],MATCH("Валюта",[1]!Таблица1[#Headers],0),FALSE)</f>
        <v>руб.</v>
      </c>
      <c r="AC246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7" spans="1:29" ht="14.25" customHeight="1" x14ac:dyDescent="0.2">
      <c r="A247" s="49" t="s">
        <v>391</v>
      </c>
      <c r="B247" s="50">
        <v>31</v>
      </c>
      <c r="C247" s="51"/>
      <c r="D247" s="52" t="s">
        <v>404</v>
      </c>
      <c r="E247" s="53"/>
      <c r="F247" s="54">
        <v>4</v>
      </c>
      <c r="G247" s="55"/>
      <c r="H247" s="56" t="s">
        <v>35</v>
      </c>
      <c r="I247" s="55"/>
      <c r="J247" s="57">
        <v>1600</v>
      </c>
      <c r="K247" s="57">
        <v>6400</v>
      </c>
      <c r="L247" s="58">
        <v>0.2</v>
      </c>
      <c r="M247" s="57">
        <v>1066.67</v>
      </c>
      <c r="N247" s="57">
        <v>6400</v>
      </c>
      <c r="O24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5333.33</v>
      </c>
      <c r="P247" s="55" t="s">
        <v>340</v>
      </c>
      <c r="Q247" s="51"/>
      <c r="R247" s="59" t="s">
        <v>408</v>
      </c>
      <c r="S247" s="60" t="s">
        <v>178</v>
      </c>
      <c r="T247" s="53"/>
      <c r="U247" s="55" t="s">
        <v>41</v>
      </c>
      <c r="V247" s="61"/>
      <c r="W247" s="55"/>
      <c r="X247" s="55" t="s">
        <v>41</v>
      </c>
      <c r="Y247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7" s="55" t="s">
        <v>141</v>
      </c>
      <c r="AA247" s="63">
        <f>VLOOKUP(Таблица2[[#This Row],[Номер заказа]],[1]!Таблица1[#Data],MATCH("Дата",[1]!Таблица1[#Headers],0),FALSE)+0</f>
        <v>45730</v>
      </c>
      <c r="AB247" s="56" t="str">
        <f>VLOOKUP(Таблица2[[#This Row],[Номер заказа]],[1]!Таблица1[#Data],MATCH("Валюта",[1]!Таблица1[#Headers],0),FALSE)</f>
        <v>руб.</v>
      </c>
      <c r="AC24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8" spans="1:29" ht="14.25" customHeight="1" x14ac:dyDescent="0.2">
      <c r="A248" s="49" t="s">
        <v>391</v>
      </c>
      <c r="B248" s="50">
        <v>32</v>
      </c>
      <c r="C248" s="51"/>
      <c r="D248" s="52" t="s">
        <v>404</v>
      </c>
      <c r="E248" s="53"/>
      <c r="F248" s="54">
        <v>4</v>
      </c>
      <c r="G248" s="55"/>
      <c r="H248" s="56" t="s">
        <v>35</v>
      </c>
      <c r="I248" s="55"/>
      <c r="J248" s="57">
        <v>1600</v>
      </c>
      <c r="K248" s="57">
        <v>6400</v>
      </c>
      <c r="L248" s="58">
        <v>0.2</v>
      </c>
      <c r="M248" s="57">
        <v>1066.67</v>
      </c>
      <c r="N248" s="57">
        <v>6400</v>
      </c>
      <c r="O248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5333.33</v>
      </c>
      <c r="P248" s="55" t="s">
        <v>340</v>
      </c>
      <c r="Q248" s="51"/>
      <c r="R248" s="59" t="s">
        <v>392</v>
      </c>
      <c r="S248" s="60" t="s">
        <v>180</v>
      </c>
      <c r="T248" s="53"/>
      <c r="U248" s="55" t="s">
        <v>41</v>
      </c>
      <c r="V248" s="61"/>
      <c r="W248" s="55"/>
      <c r="X248" s="55" t="s">
        <v>41</v>
      </c>
      <c r="Y248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8" s="55" t="s">
        <v>141</v>
      </c>
      <c r="AA248" s="63">
        <f>VLOOKUP(Таблица2[[#This Row],[Номер заказа]],[1]!Таблица1[#Data],MATCH("Дата",[1]!Таблица1[#Headers],0),FALSE)+0</f>
        <v>45730</v>
      </c>
      <c r="AB248" s="56" t="str">
        <f>VLOOKUP(Таблица2[[#This Row],[Номер заказа]],[1]!Таблица1[#Data],MATCH("Валюта",[1]!Таблица1[#Headers],0),FALSE)</f>
        <v>руб.</v>
      </c>
      <c r="AC24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49" spans="1:29" ht="14.25" customHeight="1" x14ac:dyDescent="0.2">
      <c r="A249" s="49" t="s">
        <v>391</v>
      </c>
      <c r="B249" s="50">
        <v>33</v>
      </c>
      <c r="C249" s="51"/>
      <c r="D249" s="52" t="s">
        <v>404</v>
      </c>
      <c r="E249" s="53"/>
      <c r="F249" s="54">
        <v>8</v>
      </c>
      <c r="G249" s="55"/>
      <c r="H249" s="56" t="s">
        <v>35</v>
      </c>
      <c r="I249" s="55"/>
      <c r="J249" s="57">
        <v>1600</v>
      </c>
      <c r="K249" s="57">
        <v>12800</v>
      </c>
      <c r="L249" s="58">
        <v>0.2</v>
      </c>
      <c r="M249" s="57">
        <v>2133.33</v>
      </c>
      <c r="N249" s="57">
        <v>12800</v>
      </c>
      <c r="O249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10666.67</v>
      </c>
      <c r="P249" s="55" t="s">
        <v>340</v>
      </c>
      <c r="Q249" s="51"/>
      <c r="R249" s="59" t="s">
        <v>409</v>
      </c>
      <c r="S249" s="60" t="s">
        <v>182</v>
      </c>
      <c r="T249" s="53"/>
      <c r="U249" s="55" t="s">
        <v>41</v>
      </c>
      <c r="V249" s="61"/>
      <c r="W249" s="55"/>
      <c r="X249" s="55" t="s">
        <v>41</v>
      </c>
      <c r="Y249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49" s="55" t="s">
        <v>141</v>
      </c>
      <c r="AA249" s="63">
        <f>VLOOKUP(Таблица2[[#This Row],[Номер заказа]],[1]!Таблица1[#Data],MATCH("Дата",[1]!Таблица1[#Headers],0),FALSE)+0</f>
        <v>45730</v>
      </c>
      <c r="AB249" s="56" t="str">
        <f>VLOOKUP(Таблица2[[#This Row],[Номер заказа]],[1]!Таблица1[#Data],MATCH("Валюта",[1]!Таблица1[#Headers],0),FALSE)</f>
        <v>руб.</v>
      </c>
      <c r="AC249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0" spans="1:29" ht="14.25" customHeight="1" x14ac:dyDescent="0.2">
      <c r="A250" s="49" t="s">
        <v>391</v>
      </c>
      <c r="B250" s="50">
        <v>34</v>
      </c>
      <c r="C250" s="51"/>
      <c r="D250" s="52" t="s">
        <v>405</v>
      </c>
      <c r="E250" s="53"/>
      <c r="F250" s="54">
        <v>4</v>
      </c>
      <c r="G250" s="55"/>
      <c r="H250" s="56" t="s">
        <v>35</v>
      </c>
      <c r="I250" s="55"/>
      <c r="J250" s="57">
        <v>3600</v>
      </c>
      <c r="K250" s="57">
        <v>14400</v>
      </c>
      <c r="L250" s="58">
        <v>0.2</v>
      </c>
      <c r="M250" s="57">
        <v>2400</v>
      </c>
      <c r="N250" s="57">
        <v>14400</v>
      </c>
      <c r="O250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12000</v>
      </c>
      <c r="P250" s="55" t="s">
        <v>340</v>
      </c>
      <c r="Q250" s="51"/>
      <c r="R250" s="59" t="s">
        <v>408</v>
      </c>
      <c r="S250" s="60" t="s">
        <v>178</v>
      </c>
      <c r="T250" s="53"/>
      <c r="U250" s="55" t="s">
        <v>41</v>
      </c>
      <c r="V250" s="61"/>
      <c r="W250" s="55"/>
      <c r="X250" s="55" t="s">
        <v>41</v>
      </c>
      <c r="Y250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50" s="55" t="s">
        <v>141</v>
      </c>
      <c r="AA250" s="63">
        <f>VLOOKUP(Таблица2[[#This Row],[Номер заказа]],[1]!Таблица1[#Data],MATCH("Дата",[1]!Таблица1[#Headers],0),FALSE)+0</f>
        <v>45730</v>
      </c>
      <c r="AB250" s="56" t="str">
        <f>VLOOKUP(Таблица2[[#This Row],[Номер заказа]],[1]!Таблица1[#Data],MATCH("Валюта",[1]!Таблица1[#Headers],0),FALSE)</f>
        <v>руб.</v>
      </c>
      <c r="AC250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1" spans="1:29" ht="14.25" customHeight="1" x14ac:dyDescent="0.2">
      <c r="A251" s="49" t="s">
        <v>391</v>
      </c>
      <c r="B251" s="50">
        <v>35</v>
      </c>
      <c r="C251" s="51"/>
      <c r="D251" s="52" t="s">
        <v>405</v>
      </c>
      <c r="E251" s="53"/>
      <c r="F251" s="54">
        <v>4</v>
      </c>
      <c r="G251" s="55"/>
      <c r="H251" s="56" t="s">
        <v>35</v>
      </c>
      <c r="I251" s="55"/>
      <c r="J251" s="57">
        <v>3600</v>
      </c>
      <c r="K251" s="57">
        <v>14400</v>
      </c>
      <c r="L251" s="58">
        <v>0.2</v>
      </c>
      <c r="M251" s="57">
        <v>2400</v>
      </c>
      <c r="N251" s="57">
        <v>14400</v>
      </c>
      <c r="O251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12000</v>
      </c>
      <c r="P251" s="55" t="s">
        <v>340</v>
      </c>
      <c r="Q251" s="51"/>
      <c r="R251" s="59" t="s">
        <v>392</v>
      </c>
      <c r="S251" s="60" t="s">
        <v>180</v>
      </c>
      <c r="T251" s="53"/>
      <c r="U251" s="55" t="s">
        <v>41</v>
      </c>
      <c r="V251" s="61"/>
      <c r="W251" s="55"/>
      <c r="X251" s="55" t="s">
        <v>41</v>
      </c>
      <c r="Y251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51" s="55" t="s">
        <v>141</v>
      </c>
      <c r="AA251" s="63">
        <f>VLOOKUP(Таблица2[[#This Row],[Номер заказа]],[1]!Таблица1[#Data],MATCH("Дата",[1]!Таблица1[#Headers],0),FALSE)+0</f>
        <v>45730</v>
      </c>
      <c r="AB251" s="56" t="str">
        <f>VLOOKUP(Таблица2[[#This Row],[Номер заказа]],[1]!Таблица1[#Data],MATCH("Валюта",[1]!Таблица1[#Headers],0),FALSE)</f>
        <v>руб.</v>
      </c>
      <c r="AC251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2" spans="1:29" ht="14.25" customHeight="1" x14ac:dyDescent="0.2">
      <c r="A252" s="49" t="s">
        <v>391</v>
      </c>
      <c r="B252" s="50">
        <v>36</v>
      </c>
      <c r="C252" s="51"/>
      <c r="D252" s="52" t="s">
        <v>405</v>
      </c>
      <c r="E252" s="53"/>
      <c r="F252" s="54">
        <v>8</v>
      </c>
      <c r="G252" s="55"/>
      <c r="H252" s="56" t="s">
        <v>35</v>
      </c>
      <c r="I252" s="55"/>
      <c r="J252" s="57">
        <v>3600</v>
      </c>
      <c r="K252" s="57">
        <v>28800</v>
      </c>
      <c r="L252" s="58">
        <v>0.2</v>
      </c>
      <c r="M252" s="57">
        <v>4800</v>
      </c>
      <c r="N252" s="57">
        <v>28800</v>
      </c>
      <c r="O252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24000</v>
      </c>
      <c r="P252" s="55" t="s">
        <v>340</v>
      </c>
      <c r="Q252" s="51"/>
      <c r="R252" s="59" t="s">
        <v>409</v>
      </c>
      <c r="S252" s="60" t="s">
        <v>182</v>
      </c>
      <c r="T252" s="53"/>
      <c r="U252" s="55" t="s">
        <v>41</v>
      </c>
      <c r="V252" s="61"/>
      <c r="W252" s="55"/>
      <c r="X252" s="55" t="s">
        <v>41</v>
      </c>
      <c r="Y252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52" s="55" t="s">
        <v>141</v>
      </c>
      <c r="AA252" s="63">
        <f>VLOOKUP(Таблица2[[#This Row],[Номер заказа]],[1]!Таблица1[#Data],MATCH("Дата",[1]!Таблица1[#Headers],0),FALSE)+0</f>
        <v>45730</v>
      </c>
      <c r="AB252" s="56" t="str">
        <f>VLOOKUP(Таблица2[[#This Row],[Номер заказа]],[1]!Таблица1[#Data],MATCH("Валюта",[1]!Таблица1[#Headers],0),FALSE)</f>
        <v>руб.</v>
      </c>
      <c r="AC252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3" spans="1:29" ht="14.25" customHeight="1" x14ac:dyDescent="0.2">
      <c r="A253" s="49" t="s">
        <v>410</v>
      </c>
      <c r="B253" s="50">
        <v>1</v>
      </c>
      <c r="C253" s="51"/>
      <c r="D253" s="52" t="s">
        <v>411</v>
      </c>
      <c r="E253" s="53"/>
      <c r="F253" s="54">
        <v>1.35</v>
      </c>
      <c r="G253" s="55" t="s">
        <v>412</v>
      </c>
      <c r="H253" s="56" t="s">
        <v>413</v>
      </c>
      <c r="I253" s="55"/>
      <c r="J253" s="57">
        <v>164500</v>
      </c>
      <c r="K253" s="57">
        <v>222075</v>
      </c>
      <c r="L253" s="58">
        <v>0.2</v>
      </c>
      <c r="M253" s="57">
        <v>37012.5</v>
      </c>
      <c r="N253" s="57">
        <v>222075</v>
      </c>
      <c r="O253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185062.5</v>
      </c>
      <c r="P253" s="55" t="s">
        <v>340</v>
      </c>
      <c r="Q253" s="51"/>
      <c r="R253" s="59" t="s">
        <v>414</v>
      </c>
      <c r="S253" s="60" t="s">
        <v>172</v>
      </c>
      <c r="T253" s="53"/>
      <c r="U253" s="55" t="s">
        <v>41</v>
      </c>
      <c r="V253" s="61"/>
      <c r="W253" s="55"/>
      <c r="X253" s="55" t="s">
        <v>41</v>
      </c>
      <c r="Y253" s="62" t="str">
        <f>VLOOKUP(Таблица2[[#This Row],[Номер заказа]],[1]!Таблица1[#Data],MATCH("Поставщик",[1]!Таблица1[#Headers],0),FALSE)</f>
        <v>МЕТАЛЛОТОРГ АО</v>
      </c>
      <c r="Z253" s="55" t="s">
        <v>141</v>
      </c>
      <c r="AA253" s="63">
        <f>VLOOKUP(Таблица2[[#This Row],[Номер заказа]],[1]!Таблица1[#Data],MATCH("Дата",[1]!Таблица1[#Headers],0),FALSE)+0</f>
        <v>45715</v>
      </c>
      <c r="AB253" s="56" t="str">
        <f>VLOOKUP(Таблица2[[#This Row],[Номер заказа]],[1]!Таблица1[#Data],MATCH("Валюта",[1]!Таблица1[#Headers],0),FALSE)</f>
        <v>руб.</v>
      </c>
      <c r="AC253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4" spans="1:29" ht="14.25" customHeight="1" x14ac:dyDescent="0.2">
      <c r="A254" s="49" t="s">
        <v>410</v>
      </c>
      <c r="B254" s="50">
        <v>2</v>
      </c>
      <c r="C254" s="51"/>
      <c r="D254" s="52" t="s">
        <v>415</v>
      </c>
      <c r="E254" s="53"/>
      <c r="F254" s="54">
        <v>0.222</v>
      </c>
      <c r="G254" s="55"/>
      <c r="H254" s="56" t="s">
        <v>413</v>
      </c>
      <c r="I254" s="55"/>
      <c r="J254" s="57">
        <v>161500</v>
      </c>
      <c r="K254" s="57">
        <v>35853</v>
      </c>
      <c r="L254" s="58">
        <v>0.2</v>
      </c>
      <c r="M254" s="57">
        <v>5975.5</v>
      </c>
      <c r="N254" s="57">
        <v>35853</v>
      </c>
      <c r="O254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29877.5</v>
      </c>
      <c r="P254" s="55" t="s">
        <v>340</v>
      </c>
      <c r="Q254" s="51"/>
      <c r="R254" s="59" t="s">
        <v>414</v>
      </c>
      <c r="S254" s="60" t="s">
        <v>172</v>
      </c>
      <c r="T254" s="53"/>
      <c r="U254" s="55" t="s">
        <v>41</v>
      </c>
      <c r="V254" s="61"/>
      <c r="W254" s="55"/>
      <c r="X254" s="55" t="s">
        <v>41</v>
      </c>
      <c r="Y254" s="62" t="str">
        <f>VLOOKUP(Таблица2[[#This Row],[Номер заказа]],[1]!Таблица1[#Data],MATCH("Поставщик",[1]!Таблица1[#Headers],0),FALSE)</f>
        <v>МЕТАЛЛОТОРГ АО</v>
      </c>
      <c r="Z254" s="55" t="s">
        <v>141</v>
      </c>
      <c r="AA254" s="63">
        <f>VLOOKUP(Таблица2[[#This Row],[Номер заказа]],[1]!Таблица1[#Data],MATCH("Дата",[1]!Таблица1[#Headers],0),FALSE)+0</f>
        <v>45715</v>
      </c>
      <c r="AB254" s="56" t="str">
        <f>VLOOKUP(Таблица2[[#This Row],[Номер заказа]],[1]!Таблица1[#Data],MATCH("Валюта",[1]!Таблица1[#Headers],0),FALSE)</f>
        <v>руб.</v>
      </c>
      <c r="AC254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5" spans="1:29" ht="14.25" customHeight="1" x14ac:dyDescent="0.2">
      <c r="A255" s="49" t="s">
        <v>410</v>
      </c>
      <c r="B255" s="50">
        <v>3</v>
      </c>
      <c r="C255" s="51"/>
      <c r="D255" s="52" t="s">
        <v>416</v>
      </c>
      <c r="E255" s="53"/>
      <c r="F255" s="54">
        <v>0.17899999999999999</v>
      </c>
      <c r="G255" s="55"/>
      <c r="H255" s="56" t="s">
        <v>413</v>
      </c>
      <c r="I255" s="55"/>
      <c r="J255" s="57">
        <v>164500</v>
      </c>
      <c r="K255" s="57">
        <v>29445.5</v>
      </c>
      <c r="L255" s="58">
        <v>0.2</v>
      </c>
      <c r="M255" s="57">
        <v>4907.58</v>
      </c>
      <c r="N255" s="57">
        <v>29445.5</v>
      </c>
      <c r="O255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24537.919999999998</v>
      </c>
      <c r="P255" s="55" t="s">
        <v>340</v>
      </c>
      <c r="Q255" s="51"/>
      <c r="R255" s="59" t="s">
        <v>417</v>
      </c>
      <c r="S255" s="60" t="s">
        <v>180</v>
      </c>
      <c r="T255" s="53"/>
      <c r="U255" s="55" t="s">
        <v>41</v>
      </c>
      <c r="V255" s="61"/>
      <c r="W255" s="55"/>
      <c r="X255" s="55" t="s">
        <v>41</v>
      </c>
      <c r="Y255" s="62" t="str">
        <f>VLOOKUP(Таблица2[[#This Row],[Номер заказа]],[1]!Таблица1[#Data],MATCH("Поставщик",[1]!Таблица1[#Headers],0),FALSE)</f>
        <v>МЕТАЛЛОТОРГ АО</v>
      </c>
      <c r="Z255" s="55" t="s">
        <v>141</v>
      </c>
      <c r="AA255" s="63">
        <f>VLOOKUP(Таблица2[[#This Row],[Номер заказа]],[1]!Таблица1[#Data],MATCH("Дата",[1]!Таблица1[#Headers],0),FALSE)+0</f>
        <v>45715</v>
      </c>
      <c r="AB255" s="56" t="str">
        <f>VLOOKUP(Таблица2[[#This Row],[Номер заказа]],[1]!Таблица1[#Data],MATCH("Валюта",[1]!Таблица1[#Headers],0),FALSE)</f>
        <v>руб.</v>
      </c>
      <c r="AC255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6" spans="1:29" ht="14.25" customHeight="1" x14ac:dyDescent="0.2">
      <c r="A256" s="49" t="s">
        <v>410</v>
      </c>
      <c r="B256" s="50">
        <v>4</v>
      </c>
      <c r="C256" s="51"/>
      <c r="D256" s="52" t="s">
        <v>415</v>
      </c>
      <c r="E256" s="53"/>
      <c r="F256" s="54">
        <v>0.02</v>
      </c>
      <c r="G256" s="55"/>
      <c r="H256" s="56" t="s">
        <v>413</v>
      </c>
      <c r="I256" s="55"/>
      <c r="J256" s="57">
        <v>161500</v>
      </c>
      <c r="K256" s="57">
        <v>3230</v>
      </c>
      <c r="L256" s="58">
        <v>0.2</v>
      </c>
      <c r="M256" s="57">
        <v>538.33000000000004</v>
      </c>
      <c r="N256" s="57">
        <v>3230</v>
      </c>
      <c r="O256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2691.67</v>
      </c>
      <c r="P256" s="55" t="s">
        <v>340</v>
      </c>
      <c r="Q256" s="51"/>
      <c r="R256" s="59" t="s">
        <v>417</v>
      </c>
      <c r="S256" s="60" t="s">
        <v>180</v>
      </c>
      <c r="T256" s="53"/>
      <c r="U256" s="55" t="s">
        <v>41</v>
      </c>
      <c r="V256" s="61"/>
      <c r="W256" s="55"/>
      <c r="X256" s="55" t="s">
        <v>41</v>
      </c>
      <c r="Y256" s="62" t="str">
        <f>VLOOKUP(Таблица2[[#This Row],[Номер заказа]],[1]!Таблица1[#Data],MATCH("Поставщик",[1]!Таблица1[#Headers],0),FALSE)</f>
        <v>МЕТАЛЛОТОРГ АО</v>
      </c>
      <c r="Z256" s="55" t="s">
        <v>141</v>
      </c>
      <c r="AA256" s="63">
        <f>VLOOKUP(Таблица2[[#This Row],[Номер заказа]],[1]!Таблица1[#Data],MATCH("Дата",[1]!Таблица1[#Headers],0),FALSE)+0</f>
        <v>45715</v>
      </c>
      <c r="AB256" s="56" t="str">
        <f>VLOOKUP(Таблица2[[#This Row],[Номер заказа]],[1]!Таблица1[#Data],MATCH("Валюта",[1]!Таблица1[#Headers],0),FALSE)</f>
        <v>руб.</v>
      </c>
      <c r="AC256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7" spans="1:29" ht="14.25" customHeight="1" x14ac:dyDescent="0.2">
      <c r="A257" s="49" t="s">
        <v>410</v>
      </c>
      <c r="B257" s="50">
        <v>5</v>
      </c>
      <c r="C257" s="51"/>
      <c r="D257" s="52" t="s">
        <v>416</v>
      </c>
      <c r="E257" s="53"/>
      <c r="F257" s="54">
        <v>0.35799999999999998</v>
      </c>
      <c r="G257" s="55"/>
      <c r="H257" s="56" t="s">
        <v>413</v>
      </c>
      <c r="I257" s="55"/>
      <c r="J257" s="57">
        <v>164500</v>
      </c>
      <c r="K257" s="57">
        <v>58891</v>
      </c>
      <c r="L257" s="58">
        <v>0.2</v>
      </c>
      <c r="M257" s="57">
        <v>9815.17</v>
      </c>
      <c r="N257" s="57">
        <v>58891</v>
      </c>
      <c r="O25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49075.83</v>
      </c>
      <c r="P257" s="55" t="s">
        <v>340</v>
      </c>
      <c r="Q257" s="51"/>
      <c r="R257" s="59" t="s">
        <v>418</v>
      </c>
      <c r="S257" s="60" t="s">
        <v>182</v>
      </c>
      <c r="T257" s="53"/>
      <c r="U257" s="55" t="s">
        <v>41</v>
      </c>
      <c r="V257" s="61"/>
      <c r="W257" s="55"/>
      <c r="X257" s="55" t="s">
        <v>41</v>
      </c>
      <c r="Y257" s="62" t="str">
        <f>VLOOKUP(Таблица2[[#This Row],[Номер заказа]],[1]!Таблица1[#Data],MATCH("Поставщик",[1]!Таблица1[#Headers],0),FALSE)</f>
        <v>МЕТАЛЛОТОРГ АО</v>
      </c>
      <c r="Z257" s="55" t="s">
        <v>141</v>
      </c>
      <c r="AA257" s="63">
        <f>VLOOKUP(Таблица2[[#This Row],[Номер заказа]],[1]!Таблица1[#Data],MATCH("Дата",[1]!Таблица1[#Headers],0),FALSE)+0</f>
        <v>45715</v>
      </c>
      <c r="AB257" s="56" t="str">
        <f>VLOOKUP(Таблица2[[#This Row],[Номер заказа]],[1]!Таблица1[#Data],MATCH("Валюта",[1]!Таблица1[#Headers],0),FALSE)</f>
        <v>руб.</v>
      </c>
      <c r="AC25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8" spans="1:29" ht="14.25" customHeight="1" x14ac:dyDescent="0.2">
      <c r="A258" s="49" t="s">
        <v>410</v>
      </c>
      <c r="B258" s="50">
        <v>6</v>
      </c>
      <c r="C258" s="51"/>
      <c r="D258" s="52" t="s">
        <v>415</v>
      </c>
      <c r="E258" s="53"/>
      <c r="F258" s="54">
        <v>0.04</v>
      </c>
      <c r="G258" s="55"/>
      <c r="H258" s="56" t="s">
        <v>413</v>
      </c>
      <c r="I258" s="55"/>
      <c r="J258" s="57">
        <v>161500</v>
      </c>
      <c r="K258" s="57">
        <v>6460</v>
      </c>
      <c r="L258" s="58">
        <v>0.2</v>
      </c>
      <c r="M258" s="57">
        <v>1076.67</v>
      </c>
      <c r="N258" s="57">
        <v>6460</v>
      </c>
      <c r="O258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5383.33</v>
      </c>
      <c r="P258" s="55" t="s">
        <v>340</v>
      </c>
      <c r="Q258" s="51"/>
      <c r="R258" s="59" t="s">
        <v>418</v>
      </c>
      <c r="S258" s="60" t="s">
        <v>182</v>
      </c>
      <c r="T258" s="53"/>
      <c r="U258" s="55" t="s">
        <v>41</v>
      </c>
      <c r="V258" s="61"/>
      <c r="W258" s="55"/>
      <c r="X258" s="55" t="s">
        <v>41</v>
      </c>
      <c r="Y258" s="62" t="str">
        <f>VLOOKUP(Таблица2[[#This Row],[Номер заказа]],[1]!Таблица1[#Data],MATCH("Поставщик",[1]!Таблица1[#Headers],0),FALSE)</f>
        <v>МЕТАЛЛОТОРГ АО</v>
      </c>
      <c r="Z258" s="55" t="s">
        <v>141</v>
      </c>
      <c r="AA258" s="63">
        <f>VLOOKUP(Таблица2[[#This Row],[Номер заказа]],[1]!Таблица1[#Data],MATCH("Дата",[1]!Таблица1[#Headers],0),FALSE)+0</f>
        <v>45715</v>
      </c>
      <c r="AB258" s="56" t="str">
        <f>VLOOKUP(Таблица2[[#This Row],[Номер заказа]],[1]!Таблица1[#Data],MATCH("Валюта",[1]!Таблица1[#Headers],0),FALSE)</f>
        <v>руб.</v>
      </c>
      <c r="AC25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59" spans="1:29" ht="14.25" customHeight="1" x14ac:dyDescent="0.2">
      <c r="A259" s="49" t="s">
        <v>410</v>
      </c>
      <c r="B259" s="50">
        <v>7</v>
      </c>
      <c r="C259" s="51"/>
      <c r="D259" s="52" t="s">
        <v>416</v>
      </c>
      <c r="E259" s="53"/>
      <c r="F259" s="54">
        <v>0.17899999999999999</v>
      </c>
      <c r="G259" s="55"/>
      <c r="H259" s="56" t="s">
        <v>413</v>
      </c>
      <c r="I259" s="55"/>
      <c r="J259" s="57">
        <v>164500</v>
      </c>
      <c r="K259" s="57">
        <v>29445.5</v>
      </c>
      <c r="L259" s="58">
        <v>0.2</v>
      </c>
      <c r="M259" s="57">
        <v>4907.58</v>
      </c>
      <c r="N259" s="57">
        <v>29445.5</v>
      </c>
      <c r="O259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24537.919999999998</v>
      </c>
      <c r="P259" s="55" t="s">
        <v>340</v>
      </c>
      <c r="Q259" s="51"/>
      <c r="R259" s="59" t="s">
        <v>419</v>
      </c>
      <c r="S259" s="60" t="s">
        <v>178</v>
      </c>
      <c r="T259" s="53"/>
      <c r="U259" s="55" t="s">
        <v>41</v>
      </c>
      <c r="V259" s="61"/>
      <c r="W259" s="55"/>
      <c r="X259" s="55" t="s">
        <v>41</v>
      </c>
      <c r="Y259" s="62" t="str">
        <f>VLOOKUP(Таблица2[[#This Row],[Номер заказа]],[1]!Таблица1[#Data],MATCH("Поставщик",[1]!Таблица1[#Headers],0),FALSE)</f>
        <v>МЕТАЛЛОТОРГ АО</v>
      </c>
      <c r="Z259" s="55" t="s">
        <v>141</v>
      </c>
      <c r="AA259" s="63">
        <f>VLOOKUP(Таблица2[[#This Row],[Номер заказа]],[1]!Таблица1[#Data],MATCH("Дата",[1]!Таблица1[#Headers],0),FALSE)+0</f>
        <v>45715</v>
      </c>
      <c r="AB259" s="56" t="str">
        <f>VLOOKUP(Таблица2[[#This Row],[Номер заказа]],[1]!Таблица1[#Data],MATCH("Валюта",[1]!Таблица1[#Headers],0),FALSE)</f>
        <v>руб.</v>
      </c>
      <c r="AC259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0" spans="1:29" ht="14.25" customHeight="1" x14ac:dyDescent="0.2">
      <c r="A260" s="49" t="s">
        <v>410</v>
      </c>
      <c r="B260" s="50">
        <v>8</v>
      </c>
      <c r="C260" s="51"/>
      <c r="D260" s="52" t="s">
        <v>415</v>
      </c>
      <c r="E260" s="53"/>
      <c r="F260" s="54">
        <v>0.02</v>
      </c>
      <c r="G260" s="55"/>
      <c r="H260" s="56" t="s">
        <v>413</v>
      </c>
      <c r="I260" s="55"/>
      <c r="J260" s="57">
        <v>161500</v>
      </c>
      <c r="K260" s="57">
        <v>3230</v>
      </c>
      <c r="L260" s="58">
        <v>0.2</v>
      </c>
      <c r="M260" s="57">
        <v>538.33000000000004</v>
      </c>
      <c r="N260" s="57">
        <v>3230</v>
      </c>
      <c r="O260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2691.67</v>
      </c>
      <c r="P260" s="55" t="s">
        <v>340</v>
      </c>
      <c r="Q260" s="51"/>
      <c r="R260" s="59" t="s">
        <v>419</v>
      </c>
      <c r="S260" s="60" t="s">
        <v>178</v>
      </c>
      <c r="T260" s="53"/>
      <c r="U260" s="55" t="s">
        <v>41</v>
      </c>
      <c r="V260" s="61"/>
      <c r="W260" s="55"/>
      <c r="X260" s="55" t="s">
        <v>41</v>
      </c>
      <c r="Y260" s="62" t="str">
        <f>VLOOKUP(Таблица2[[#This Row],[Номер заказа]],[1]!Таблица1[#Data],MATCH("Поставщик",[1]!Таблица1[#Headers],0),FALSE)</f>
        <v>МЕТАЛЛОТОРГ АО</v>
      </c>
      <c r="Z260" s="55" t="s">
        <v>141</v>
      </c>
      <c r="AA260" s="63">
        <f>VLOOKUP(Таблица2[[#This Row],[Номер заказа]],[1]!Таблица1[#Data],MATCH("Дата",[1]!Таблица1[#Headers],0),FALSE)+0</f>
        <v>45715</v>
      </c>
      <c r="AB260" s="56" t="str">
        <f>VLOOKUP(Таблица2[[#This Row],[Номер заказа]],[1]!Таблица1[#Data],MATCH("Валюта",[1]!Таблица1[#Headers],0),FALSE)</f>
        <v>руб.</v>
      </c>
      <c r="AC260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1" spans="1:29" ht="14.25" customHeight="1" x14ac:dyDescent="0.2">
      <c r="A261" s="49" t="s">
        <v>420</v>
      </c>
      <c r="B261" s="50">
        <v>1</v>
      </c>
      <c r="C261" s="51"/>
      <c r="D261" s="52" t="s">
        <v>421</v>
      </c>
      <c r="E261" s="53"/>
      <c r="F261" s="54">
        <v>20</v>
      </c>
      <c r="G261" s="55"/>
      <c r="H261" s="56" t="s">
        <v>35</v>
      </c>
      <c r="I261" s="55"/>
      <c r="J261" s="57">
        <v>2640</v>
      </c>
      <c r="K261" s="57">
        <v>52800</v>
      </c>
      <c r="L261" s="58">
        <v>0.2</v>
      </c>
      <c r="M261" s="57">
        <v>8800</v>
      </c>
      <c r="N261" s="57">
        <v>52800</v>
      </c>
      <c r="O261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44000</v>
      </c>
      <c r="P261" s="55" t="s">
        <v>340</v>
      </c>
      <c r="Q261" s="51" t="s">
        <v>351</v>
      </c>
      <c r="R261" s="59" t="s">
        <v>387</v>
      </c>
      <c r="S261" s="60" t="s">
        <v>172</v>
      </c>
      <c r="T261" s="53" t="s">
        <v>353</v>
      </c>
      <c r="U261" s="55" t="s">
        <v>47</v>
      </c>
      <c r="V261" s="61"/>
      <c r="W261" s="55"/>
      <c r="X261" s="55" t="s">
        <v>41</v>
      </c>
      <c r="Y261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61" s="55" t="s">
        <v>141</v>
      </c>
      <c r="AA261" s="63">
        <f>VLOOKUP(Таблица2[[#This Row],[Номер заказа]],[1]!Таблица1[#Data],MATCH("Дата",[1]!Таблица1[#Headers],0),FALSE)+0</f>
        <v>45824</v>
      </c>
      <c r="AB261" s="56" t="str">
        <f>VLOOKUP(Таблица2[[#This Row],[Номер заказа]],[1]!Таблица1[#Data],MATCH("Валюта",[1]!Таблица1[#Headers],0),FALSE)</f>
        <v>руб.</v>
      </c>
      <c r="AC261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2" spans="1:29" ht="14.25" customHeight="1" x14ac:dyDescent="0.2">
      <c r="A262" s="49" t="s">
        <v>420</v>
      </c>
      <c r="B262" s="50">
        <v>2</v>
      </c>
      <c r="C262" s="51"/>
      <c r="D262" s="52" t="s">
        <v>421</v>
      </c>
      <c r="E262" s="53"/>
      <c r="F262" s="54">
        <v>4</v>
      </c>
      <c r="G262" s="55"/>
      <c r="H262" s="56" t="s">
        <v>35</v>
      </c>
      <c r="I262" s="55"/>
      <c r="J262" s="57">
        <v>2640</v>
      </c>
      <c r="K262" s="57">
        <v>10560</v>
      </c>
      <c r="L262" s="58">
        <v>0.2</v>
      </c>
      <c r="M262" s="57">
        <v>1760</v>
      </c>
      <c r="N262" s="57">
        <v>10560</v>
      </c>
      <c r="O262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8800</v>
      </c>
      <c r="P262" s="55" t="s">
        <v>340</v>
      </c>
      <c r="Q262" s="51" t="s">
        <v>351</v>
      </c>
      <c r="R262" s="59" t="s">
        <v>369</v>
      </c>
      <c r="S262" s="60" t="s">
        <v>180</v>
      </c>
      <c r="T262" s="53" t="s">
        <v>353</v>
      </c>
      <c r="U262" s="55" t="s">
        <v>47</v>
      </c>
      <c r="V262" s="61"/>
      <c r="W262" s="55"/>
      <c r="X262" s="55" t="s">
        <v>41</v>
      </c>
      <c r="Y262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62" s="55" t="s">
        <v>141</v>
      </c>
      <c r="AA262" s="63">
        <f>VLOOKUP(Таблица2[[#This Row],[Номер заказа]],[1]!Таблица1[#Data],MATCH("Дата",[1]!Таблица1[#Headers],0),FALSE)+0</f>
        <v>45824</v>
      </c>
      <c r="AB262" s="56" t="str">
        <f>VLOOKUP(Таблица2[[#This Row],[Номер заказа]],[1]!Таблица1[#Data],MATCH("Валюта",[1]!Таблица1[#Headers],0),FALSE)</f>
        <v>руб.</v>
      </c>
      <c r="AC262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3" spans="1:29" ht="14.25" customHeight="1" x14ac:dyDescent="0.2">
      <c r="A263" s="49" t="s">
        <v>420</v>
      </c>
      <c r="B263" s="50">
        <v>3</v>
      </c>
      <c r="C263" s="51"/>
      <c r="D263" s="52" t="s">
        <v>421</v>
      </c>
      <c r="E263" s="53"/>
      <c r="F263" s="54">
        <v>8</v>
      </c>
      <c r="G263" s="55"/>
      <c r="H263" s="56" t="s">
        <v>35</v>
      </c>
      <c r="I263" s="55"/>
      <c r="J263" s="57">
        <v>2640</v>
      </c>
      <c r="K263" s="57">
        <v>21120</v>
      </c>
      <c r="L263" s="58">
        <v>0.2</v>
      </c>
      <c r="M263" s="57">
        <v>3520</v>
      </c>
      <c r="N263" s="57">
        <v>21120</v>
      </c>
      <c r="O263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17600</v>
      </c>
      <c r="P263" s="55" t="s">
        <v>340</v>
      </c>
      <c r="Q263" s="51" t="s">
        <v>351</v>
      </c>
      <c r="R263" s="59" t="s">
        <v>365</v>
      </c>
      <c r="S263" s="60" t="s">
        <v>178</v>
      </c>
      <c r="T263" s="53" t="s">
        <v>353</v>
      </c>
      <c r="U263" s="55" t="s">
        <v>47</v>
      </c>
      <c r="V263" s="61"/>
      <c r="W263" s="55"/>
      <c r="X263" s="55" t="s">
        <v>41</v>
      </c>
      <c r="Y263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63" s="55" t="s">
        <v>141</v>
      </c>
      <c r="AA263" s="63">
        <f>VLOOKUP(Таблица2[[#This Row],[Номер заказа]],[1]!Таблица1[#Data],MATCH("Дата",[1]!Таблица1[#Headers],0),FALSE)+0</f>
        <v>45824</v>
      </c>
      <c r="AB263" s="56" t="str">
        <f>VLOOKUP(Таблица2[[#This Row],[Номер заказа]],[1]!Таблица1[#Data],MATCH("Валюта",[1]!Таблица1[#Headers],0),FALSE)</f>
        <v>руб.</v>
      </c>
      <c r="AC263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4" spans="1:29" ht="14.25" customHeight="1" x14ac:dyDescent="0.2">
      <c r="A264" s="49" t="s">
        <v>422</v>
      </c>
      <c r="B264" s="50">
        <v>1</v>
      </c>
      <c r="C264" s="51"/>
      <c r="D264" s="52" t="s">
        <v>423</v>
      </c>
      <c r="E264" s="53"/>
      <c r="F264" s="54">
        <v>1</v>
      </c>
      <c r="G264" s="55"/>
      <c r="H264" s="56" t="s">
        <v>424</v>
      </c>
      <c r="I264" s="55"/>
      <c r="J264" s="57">
        <v>10000</v>
      </c>
      <c r="K264" s="57">
        <v>10000</v>
      </c>
      <c r="L264" s="58">
        <v>0.2</v>
      </c>
      <c r="M264" s="57">
        <v>1666.67</v>
      </c>
      <c r="N264" s="57">
        <v>10000</v>
      </c>
      <c r="O264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8333.33</v>
      </c>
      <c r="P264" s="55" t="s">
        <v>340</v>
      </c>
      <c r="Q264" s="51" t="s">
        <v>351</v>
      </c>
      <c r="R264" s="59" t="s">
        <v>425</v>
      </c>
      <c r="S264" s="60" t="s">
        <v>172</v>
      </c>
      <c r="T264" s="53" t="s">
        <v>353</v>
      </c>
      <c r="U264" s="55" t="s">
        <v>47</v>
      </c>
      <c r="V264" s="61"/>
      <c r="W264" s="55"/>
      <c r="X264" s="55" t="s">
        <v>41</v>
      </c>
      <c r="Y264" s="62" t="str">
        <f>VLOOKUP(Таблица2[[#This Row],[Номер заказа]],[1]!Таблица1[#Data],MATCH("Поставщик",[1]!Таблица1[#Headers],0),FALSE)</f>
        <v>СПБГАСУ, СПБГАСУ ИЛИ САНКТ-ПЕТЕРБУРГСКИЙ ГОСУДАРСТВЕННЫЙ АРХИТЕКТУРНО-СТРОИТЕЛЬНЫЙ УНИВЕРСИТЕТ ФГБОУ</v>
      </c>
      <c r="Z264" s="55" t="s">
        <v>48</v>
      </c>
      <c r="AA264" s="63">
        <f>VLOOKUP(Таблица2[[#This Row],[Номер заказа]],[1]!Таблица1[#Data],MATCH("Дата",[1]!Таблица1[#Headers],0),FALSE)+0</f>
        <v>45847</v>
      </c>
      <c r="AB264" s="56" t="str">
        <f>VLOOKUP(Таблица2[[#This Row],[Номер заказа]],[1]!Таблица1[#Data],MATCH("Валюта",[1]!Таблица1[#Headers],0),FALSE)</f>
        <v>руб.</v>
      </c>
      <c r="AC264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5" spans="1:29" ht="14.25" customHeight="1" x14ac:dyDescent="0.2">
      <c r="A265" s="49" t="s">
        <v>426</v>
      </c>
      <c r="B265" s="50">
        <v>1</v>
      </c>
      <c r="C265" s="51"/>
      <c r="D265" s="52" t="s">
        <v>427</v>
      </c>
      <c r="E265" s="53"/>
      <c r="F265" s="54">
        <v>1</v>
      </c>
      <c r="G265" s="55"/>
      <c r="H265" s="56"/>
      <c r="I265" s="55"/>
      <c r="J265" s="57">
        <v>26400</v>
      </c>
      <c r="K265" s="57">
        <v>26400</v>
      </c>
      <c r="L265" s="58" t="s">
        <v>428</v>
      </c>
      <c r="M265" s="57"/>
      <c r="N265" s="57">
        <v>26400</v>
      </c>
      <c r="O265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26400</v>
      </c>
      <c r="P265" s="55" t="s">
        <v>340</v>
      </c>
      <c r="Q265" s="55" t="s">
        <v>351</v>
      </c>
      <c r="R265" s="51" t="s">
        <v>429</v>
      </c>
      <c r="S265" s="59" t="s">
        <v>172</v>
      </c>
      <c r="T265" s="64" t="s">
        <v>353</v>
      </c>
      <c r="U265" s="53" t="s">
        <v>47</v>
      </c>
      <c r="V265" s="55"/>
      <c r="W265" s="61"/>
      <c r="X265" s="55" t="s">
        <v>41</v>
      </c>
      <c r="Y265" s="62" t="str">
        <f>VLOOKUP(Таблица2[[#This Row],[Номер заказа]],[1]!Таблица1[#Data],MATCH("Поставщик",[1]!Таблица1[#Headers],0),FALSE)</f>
        <v>Печуркин Владимир Сергеевич</v>
      </c>
      <c r="Z265" s="55" t="s">
        <v>48</v>
      </c>
      <c r="AA265" s="63">
        <f>VLOOKUP(Таблица2[[#This Row],[Номер заказа]],[1]!Таблица1[#Data],MATCH("Дата",[1]!Таблица1[#Headers],0),FALSE)+0</f>
        <v>45698</v>
      </c>
      <c r="AB265" s="56" t="str">
        <f>VLOOKUP(Таблица2[[#This Row],[Номер заказа]],[1]!Таблица1[#Data],MATCH("Валюта",[1]!Таблица1[#Headers],0),FALSE)</f>
        <v>руб.</v>
      </c>
      <c r="AC265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6" spans="1:29" ht="14.25" customHeight="1" x14ac:dyDescent="0.2">
      <c r="A266" s="49" t="s">
        <v>430</v>
      </c>
      <c r="B266" s="50">
        <v>1</v>
      </c>
      <c r="C266" s="51"/>
      <c r="D266" s="52" t="s">
        <v>431</v>
      </c>
      <c r="E266" s="53"/>
      <c r="F266" s="54">
        <v>1</v>
      </c>
      <c r="G266" s="55"/>
      <c r="H266" s="56" t="s">
        <v>35</v>
      </c>
      <c r="I266" s="55"/>
      <c r="J266" s="57">
        <v>22800</v>
      </c>
      <c r="K266" s="57">
        <v>22800</v>
      </c>
      <c r="L266" s="58">
        <v>0.2</v>
      </c>
      <c r="M266" s="57">
        <v>3800</v>
      </c>
      <c r="N266" s="57">
        <v>22800</v>
      </c>
      <c r="O266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19000</v>
      </c>
      <c r="P266" s="55" t="s">
        <v>340</v>
      </c>
      <c r="Q266" s="51" t="s">
        <v>351</v>
      </c>
      <c r="R266" s="59" t="s">
        <v>367</v>
      </c>
      <c r="S266" s="60" t="s">
        <v>172</v>
      </c>
      <c r="T266" s="53" t="s">
        <v>353</v>
      </c>
      <c r="U266" s="55" t="s">
        <v>47</v>
      </c>
      <c r="V266" s="61"/>
      <c r="W266" s="55"/>
      <c r="X266" s="55" t="s">
        <v>41</v>
      </c>
      <c r="Y266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66" s="55" t="s">
        <v>48</v>
      </c>
      <c r="AA266" s="63">
        <f>VLOOKUP(Таблица2[[#This Row],[Номер заказа]],[1]!Таблица1[#Data],MATCH("Дата",[1]!Таблица1[#Headers],0),FALSE)+0</f>
        <v>45806</v>
      </c>
      <c r="AB266" s="56" t="str">
        <f>VLOOKUP(Таблица2[[#This Row],[Номер заказа]],[1]!Таблица1[#Data],MATCH("Валюта",[1]!Таблица1[#Headers],0),FALSE)</f>
        <v>руб.</v>
      </c>
      <c r="AC266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7" spans="1:29" ht="14.25" customHeight="1" x14ac:dyDescent="0.2">
      <c r="A267" s="49" t="s">
        <v>430</v>
      </c>
      <c r="B267" s="50">
        <v>2</v>
      </c>
      <c r="C267" s="51"/>
      <c r="D267" s="52" t="s">
        <v>432</v>
      </c>
      <c r="E267" s="53"/>
      <c r="F267" s="54">
        <v>1</v>
      </c>
      <c r="G267" s="55"/>
      <c r="H267" s="56" t="s">
        <v>35</v>
      </c>
      <c r="I267" s="55"/>
      <c r="J267" s="57">
        <v>2640</v>
      </c>
      <c r="K267" s="57">
        <v>2640</v>
      </c>
      <c r="L267" s="58">
        <v>0.2</v>
      </c>
      <c r="M267" s="57">
        <v>440</v>
      </c>
      <c r="N267" s="57">
        <v>2640</v>
      </c>
      <c r="O267" s="57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2200</v>
      </c>
      <c r="P267" s="55" t="s">
        <v>340</v>
      </c>
      <c r="Q267" s="51" t="s">
        <v>351</v>
      </c>
      <c r="R267" s="59" t="s">
        <v>367</v>
      </c>
      <c r="S267" s="60" t="s">
        <v>172</v>
      </c>
      <c r="T267" s="53" t="s">
        <v>353</v>
      </c>
      <c r="U267" s="55" t="s">
        <v>47</v>
      </c>
      <c r="V267" s="61"/>
      <c r="W267" s="55"/>
      <c r="X267" s="55" t="s">
        <v>41</v>
      </c>
      <c r="Y267" s="62" t="str">
        <f>VLOOKUP(Таблица2[[#This Row],[Номер заказа]],[1]!Таблица1[#Data],MATCH("Поставщик",[1]!Таблица1[#Headers],0),FALSE)</f>
        <v>ПСГ ПРОИЗВОДСТВЕННАЯ КОМПАНИЯ ООО</v>
      </c>
      <c r="Z267" s="55" t="s">
        <v>48</v>
      </c>
      <c r="AA267" s="63">
        <f>VLOOKUP(Таблица2[[#This Row],[Номер заказа]],[1]!Таблица1[#Data],MATCH("Дата",[1]!Таблица1[#Headers],0),FALSE)+0</f>
        <v>45806</v>
      </c>
      <c r="AB267" s="56" t="str">
        <f>VLOOKUP(Таблица2[[#This Row],[Номер заказа]],[1]!Таблица1[#Data],MATCH("Валюта",[1]!Таблица1[#Headers],0),FALSE)</f>
        <v>руб.</v>
      </c>
      <c r="AC267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8" spans="1:29" ht="14.25" customHeight="1" x14ac:dyDescent="0.2">
      <c r="A268" s="49" t="s">
        <v>433</v>
      </c>
      <c r="B268" s="50">
        <v>1</v>
      </c>
      <c r="C268" s="51"/>
      <c r="D268" s="52" t="s">
        <v>423</v>
      </c>
      <c r="E268" s="53"/>
      <c r="F268" s="54">
        <v>1</v>
      </c>
      <c r="G268" s="55"/>
      <c r="H268" s="56" t="s">
        <v>424</v>
      </c>
      <c r="I268" s="55"/>
      <c r="J268" s="57">
        <v>10000</v>
      </c>
      <c r="K268" s="57">
        <v>10000</v>
      </c>
      <c r="L268" s="58">
        <v>0.2</v>
      </c>
      <c r="M268" s="57">
        <v>1666.67</v>
      </c>
      <c r="N268" s="57">
        <v>10000</v>
      </c>
      <c r="O268" s="65">
        <f>(Таблица2[[#This Row],[Сумма с НДС]]-Таблица2[[#This Row],[НДС]])*IF(Таблица2[[#This Row],[Валюта]]="руб.",1,IF(Таблица2[[#This Row],[Валюта]]="USD",ИД_КурсДоллара,IF(Таблица2[[#This Row],[Валюта]]="EUR",ИД_КурсЕвро,0)))</f>
        <v>8333.33</v>
      </c>
      <c r="P268" s="66" t="s">
        <v>340</v>
      </c>
      <c r="Q268" s="67" t="s">
        <v>351</v>
      </c>
      <c r="R268" s="68" t="s">
        <v>434</v>
      </c>
      <c r="S268" s="60" t="s">
        <v>172</v>
      </c>
      <c r="T268" s="69" t="s">
        <v>353</v>
      </c>
      <c r="U268" s="66" t="s">
        <v>47</v>
      </c>
      <c r="V268" s="70"/>
      <c r="W268" s="66"/>
      <c r="X268" s="55" t="s">
        <v>41</v>
      </c>
      <c r="Y268" s="62" t="str">
        <f>VLOOKUP(Таблица2[[#This Row],[Номер заказа]],[1]!Таблица1[#Data],MATCH("Поставщик",[1]!Таблица1[#Headers],0),FALSE)</f>
        <v>СПБГАСУ, СПБГАСУ ИЛИ САНКТ-ПЕТЕРБУРГСКИЙ ГОСУДАРСТВЕННЫЙ АРХИТЕКТУРНО-СТРОИТЕЛЬНЫЙ УНИВЕРСИТЕТ ФГБОУ</v>
      </c>
      <c r="Z268" s="55" t="s">
        <v>48</v>
      </c>
      <c r="AA268" s="63">
        <f>VLOOKUP(Таблица2[[#This Row],[Номер заказа]],[1]!Таблица1[#Data],MATCH("Дата",[1]!Таблица1[#Headers],0),FALSE)+0</f>
        <v>45804</v>
      </c>
      <c r="AB268" s="56" t="str">
        <f>VLOOKUP(Таблица2[[#This Row],[Номер заказа]],[1]!Таблица1[#Data],MATCH("Валюта",[1]!Таблица1[#Headers],0),FALSE)</f>
        <v>руб.</v>
      </c>
      <c r="AC268" s="56" t="str">
        <f>_xlfn.XLOOKUP(Таблица2[[#This Row],[Номенклатура]],[1]!Таблица24[Наименование],[1]!Таблица24[Кол-во],"Нет на складе",0)</f>
        <v>Нет на складе</v>
      </c>
    </row>
    <row r="269" spans="1:29" ht="14.25" customHeight="1" x14ac:dyDescent="0.2">
      <c r="A269" s="71" t="s">
        <v>435</v>
      </c>
      <c r="B269" s="72"/>
      <c r="C269" s="73"/>
      <c r="D269" s="74"/>
      <c r="E269" s="75"/>
      <c r="F269" s="76"/>
      <c r="G269" s="77"/>
      <c r="H269" s="78"/>
      <c r="I269" s="77"/>
      <c r="J269" s="79"/>
      <c r="K269" s="79">
        <f>SUBTOTAL(109,Таблица2[Сумма])</f>
        <v>22154299.919999994</v>
      </c>
      <c r="L269" s="78"/>
      <c r="M269" s="79"/>
      <c r="N269" s="79">
        <f>SUBTOTAL(109,Таблица2[Сумма с НДС])</f>
        <v>22154368.390000001</v>
      </c>
      <c r="O269" s="79">
        <f>SUBTOTAL(109,Таблица2[Сумма без НДС])</f>
        <v>18824650.599999998</v>
      </c>
      <c r="P269" s="77"/>
      <c r="Q269" s="73"/>
      <c r="R269" s="80"/>
      <c r="S269" s="81"/>
      <c r="T269" s="75"/>
      <c r="U269" s="77"/>
      <c r="V269" s="82"/>
      <c r="W269" s="77"/>
      <c r="X269" s="73"/>
      <c r="Y269" s="83"/>
      <c r="Z269" s="77"/>
      <c r="AA269" s="77"/>
      <c r="AB269" s="77"/>
      <c r="AC269" s="77"/>
    </row>
  </sheetData>
  <mergeCells count="29">
    <mergeCell ref="L1:L3"/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X1:X3"/>
    <mergeCell ref="M1:M3"/>
    <mergeCell ref="N1:N3"/>
    <mergeCell ref="O1:O3"/>
    <mergeCell ref="P1:P3"/>
    <mergeCell ref="Q1:Q3"/>
    <mergeCell ref="R1:R3"/>
    <mergeCell ref="S1:S3"/>
    <mergeCell ref="T1:T3"/>
    <mergeCell ref="U1:U3"/>
    <mergeCell ref="V1:V3"/>
    <mergeCell ref="W1:W3"/>
    <mergeCell ref="Y1:Y3"/>
    <mergeCell ref="Z1:Z3"/>
    <mergeCell ref="AA1:AA3"/>
    <mergeCell ref="AB1:AB3"/>
    <mergeCell ref="AC1:AC3"/>
  </mergeCells>
  <conditionalFormatting sqref="T182:U216 A182:N204 B205:N216 O182:O216 P182:S183 V182:AC185 P184:R186 A5:AC86 Y186:AC216 A97:R106 T97:AC106 A87:R87 T87:AC87 A107:AC181 A88:AC96 P187:S216 V186:W216">
    <cfRule type="expression" dxfId="73" priority="11">
      <formula>$AC5="Нет на складе"</formula>
    </cfRule>
  </conditionalFormatting>
  <conditionalFormatting sqref="A208:A211">
    <cfRule type="expression" dxfId="72" priority="12">
      <formula>$AC205="Нет на складе"</formula>
    </cfRule>
  </conditionalFormatting>
  <conditionalFormatting sqref="A205:A207">
    <cfRule type="expression" dxfId="71" priority="10">
      <formula>$AC205="Нет на складе"</formula>
    </cfRule>
  </conditionalFormatting>
  <conditionalFormatting sqref="A212:A215">
    <cfRule type="expression" dxfId="70" priority="13">
      <formula>$AC206="Нет на складе"</formula>
    </cfRule>
  </conditionalFormatting>
  <conditionalFormatting sqref="A216">
    <cfRule type="expression" dxfId="69" priority="14">
      <formula>$AC207="Нет на складе"</formula>
    </cfRule>
  </conditionalFormatting>
  <conditionalFormatting sqref="X186:X216">
    <cfRule type="expression" dxfId="68" priority="9">
      <formula>$AC186="Нет на складе"</formula>
    </cfRule>
  </conditionalFormatting>
  <conditionalFormatting sqref="S184:S186">
    <cfRule type="expression" dxfId="67" priority="8">
      <formula>$AC184="Нет на складе"</formula>
    </cfRule>
  </conditionalFormatting>
  <conditionalFormatting sqref="S97 S99:S100 S102 S106">
    <cfRule type="expression" dxfId="66" priority="7">
      <formula>$AC97="Нет на складе"</formula>
    </cfRule>
  </conditionalFormatting>
  <conditionalFormatting sqref="S87">
    <cfRule type="expression" dxfId="65" priority="6">
      <formula>$AC87="Нет на складе"</formula>
    </cfRule>
  </conditionalFormatting>
  <conditionalFormatting sqref="S98">
    <cfRule type="expression" dxfId="64" priority="5">
      <formula>$AC98="Нет на складе"</formula>
    </cfRule>
  </conditionalFormatting>
  <conditionalFormatting sqref="S101">
    <cfRule type="expression" dxfId="63" priority="4">
      <formula>$AC101="Нет на складе"</formula>
    </cfRule>
  </conditionalFormatting>
  <conditionalFormatting sqref="S104">
    <cfRule type="expression" dxfId="62" priority="3">
      <formula>$AC104="Нет на складе"</formula>
    </cfRule>
  </conditionalFormatting>
  <conditionalFormatting sqref="S103">
    <cfRule type="expression" dxfId="61" priority="2">
      <formula>$AC103="Нет на складе"</formula>
    </cfRule>
  </conditionalFormatting>
  <conditionalFormatting sqref="S105">
    <cfRule type="expression" dxfId="60" priority="1">
      <formula>$AC105="Нет на складе"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Товары 9170+1955</vt:lpstr>
      <vt:lpstr>ИД_КурсДоллара</vt:lpstr>
      <vt:lpstr>ИД_КурсЕвро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Aleksandr VORONOV</dc:creator>
  <cp:lastModifiedBy>Aleksandr VORONOV</cp:lastModifiedBy>
  <dcterms:created xsi:type="dcterms:W3CDTF">2026-08-05T08:17:21Z</dcterms:created>
  <dcterms:modified xsi:type="dcterms:W3CDTF">2026-08-05T15:38:51Z</dcterms:modified>
</cp:coreProperties>
</file>